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Supuestos" sheetId="2" r:id="rId6"/>
    <sheet state="visible" name="ROI 10A" sheetId="3" r:id="rId7"/>
    <sheet state="visible" name="Aguilas 10A" sheetId="4" r:id="rId8"/>
    <sheet state="visible" name="Reus Trasteros 10A" sheetId="5" r:id="rId9"/>
    <sheet state="visible" name="Tinamus 10A" sheetId="6" r:id="rId10"/>
    <sheet state="visible" name="Vehiculos 10A" sheetId="7" r:id="rId11"/>
  </sheets>
  <definedNames/>
  <calcPr/>
</workbook>
</file>

<file path=xl/sharedStrings.xml><?xml version="1.0" encoding="utf-8"?>
<sst xmlns="http://schemas.openxmlformats.org/spreadsheetml/2006/main" count="374" uniqueCount="242">
  <si>
    <t>ÁGUILAS 35K → IT 2 AÑOS → CAMBIO DE USO → ALQUILER</t>
  </si>
  <si>
    <t>COMPARACIÓN HOMOGÉNEA — 10 AÑOS (BASE)</t>
  </si>
  <si>
    <t>Año</t>
  </si>
  <si>
    <t>Fase</t>
  </si>
  <si>
    <t>CapEx</t>
  </si>
  <si>
    <t>Ingresos alquiler</t>
  </si>
  <si>
    <t>Opex</t>
  </si>
  <si>
    <t>Flujo operativo neto</t>
  </si>
  <si>
    <t>Caja operativa acumulada</t>
  </si>
  <si>
    <t>Valor activo</t>
  </si>
  <si>
    <t>Inversión</t>
  </si>
  <si>
    <t>CapEx acumulado</t>
  </si>
  <si>
    <t>CapEx total / inicial</t>
  </si>
  <si>
    <t>ROI económico acumulado</t>
  </si>
  <si>
    <t>Caja neta año 1</t>
  </si>
  <si>
    <t>Flujo para TIR</t>
  </si>
  <si>
    <t>Caja neta estabilizada</t>
  </si>
  <si>
    <t>Valor residual año 10</t>
  </si>
  <si>
    <t>Caja operativa acumulada 10A</t>
  </si>
  <si>
    <t>Valor económico total 10A</t>
  </si>
  <si>
    <t>ROI económico 10A</t>
  </si>
  <si>
    <t>TIR 10A</t>
  </si>
  <si>
    <t>Payback solo caja</t>
  </si>
  <si>
    <t>Riesgo</t>
  </si>
  <si>
    <t>Compra</t>
  </si>
  <si>
    <t>Lectura</t>
  </si>
  <si>
    <t>Águilas 35k → vivienda</t>
  </si>
  <si>
    <t>IT / local</t>
  </si>
  <si>
    <t>&gt;10 años</t>
  </si>
  <si>
    <t>Medio hasta licencia; bajo-medio después</t>
  </si>
  <si>
    <t>Mejor equilibrio patrimonio/riesgo si cambio de uso es viable &lt;=15k</t>
  </si>
  <si>
    <t>Reus 22k → 11 trasteros</t>
  </si>
  <si>
    <t>IT + conversión</t>
  </si>
  <si>
    <t>COMPARADOR DE INVERSIONES — SUPUESTOS BASE</t>
  </si>
  <si>
    <t>~9 años</t>
  </si>
  <si>
    <t>Medio</t>
  </si>
  <si>
    <t>Muy buena renta; validar 11 unidades, licencia y demanda real</t>
  </si>
  <si>
    <t>2 L3H2 alquiler</t>
  </si>
  <si>
    <t>Valor</t>
  </si>
  <si>
    <t>Unidad / criterio</t>
  </si>
  <si>
    <t>Fuente / nota</t>
  </si>
  <si>
    <t>Capital disponible</t>
  </si>
  <si>
    <t>EUR</t>
  </si>
  <si>
    <t>28k SEPE + 12k indemnización + 5k ahorros</t>
  </si>
  <si>
    <t>Crecimiento rentas base</t>
  </si>
  <si>
    <t>%</t>
  </si>
  <si>
    <t>Supuesto prudente</t>
  </si>
  <si>
    <t>Coste de venta terminal</t>
  </si>
  <si>
    <t>Supuesto de fricción de salida</t>
  </si>
  <si>
    <t>Criterio</t>
  </si>
  <si>
    <t>ÁGUILAS — LOCAL 35K → VIVIENDA</t>
  </si>
  <si>
    <t>Vivienda alquilada</t>
  </si>
  <si>
    <t>~4,2 años</t>
  </si>
  <si>
    <t>Alto</t>
  </si>
  <si>
    <t>Mayor TIR esperada, pero es negocio operativo y activo depreciable</t>
  </si>
  <si>
    <t>Tinamus → vivienda</t>
  </si>
  <si>
    <t>Medio-alto</t>
  </si>
  <si>
    <t>Gran patrimonio absoluto, pero exige mucho más capital y ejecución</t>
  </si>
  <si>
    <t>Camper</t>
  </si>
  <si>
    <t>#1</t>
  </si>
  <si>
    <t>Columna 1</t>
  </si>
  <si>
    <t>#2</t>
  </si>
  <si>
    <t>Columna 2</t>
  </si>
  <si>
    <t>#3</t>
  </si>
  <si>
    <t>Columna 3</t>
  </si>
  <si>
    <t>Comentario</t>
  </si>
  <si>
    <t>Mayor TIR esperada</t>
  </si>
  <si>
    <t>Precio compra</t>
  </si>
  <si>
    <t>~7,9 años</t>
  </si>
  <si>
    <t>Alto / estacional</t>
  </si>
  <si>
    <t>Peor relación riesgo-retorno del grupo modelado</t>
  </si>
  <si>
    <t>Local comercial genérico</t>
  </si>
  <si>
    <t>N/D</t>
  </si>
  <si>
    <t>Alto / depende actividad</t>
  </si>
  <si>
    <t>No se puede rankear sin cash flow del negocio</t>
  </si>
  <si>
    <t>2 L3H2</t>
  </si>
  <si>
    <t>Reus trasteros</t>
  </si>
  <si>
    <t>Águilas</t>
  </si>
  <si>
    <t>Oferta asumida aceptada</t>
  </si>
  <si>
    <t>L3H2 gana en retorno puro, pero con más trabajo, averías y depreciación</t>
  </si>
  <si>
    <t>Mejor largo plazo riesgo-ajustado</t>
  </si>
  <si>
    <t>ITP Murcia</t>
  </si>
  <si>
    <t>Águilas combina compra barata + creación de equity + salida residencial</t>
  </si>
  <si>
    <t>Más pasiva / automatizable</t>
  </si>
  <si>
    <t>https://agenciatributaria.carm.es/documents/20632/1675724/TRIBUTOS%2BCEDIDOS%2BY%2BPROPIOS.pdf/be1014f0-3bcb-4759-9cdf-f3a15d80c2be?version=1.0</t>
  </si>
  <si>
    <t>Águilas vivienda</t>
  </si>
  <si>
    <t>Tinamus vivienda</t>
  </si>
  <si>
    <t>Trasteros puede operar sin personal, pero exige ocupación real</t>
  </si>
  <si>
    <t>Mayor patrimonio absoluto potencial</t>
  </si>
  <si>
    <t>Tinamus</t>
  </si>
  <si>
    <t>Reus</t>
  </si>
  <si>
    <t>Tinamus requiere deuda/capital futuro: no comparar su tamaño con inversiones de 45k sin ajustar</t>
  </si>
  <si>
    <t>Peor riesgo-retorno base</t>
  </si>
  <si>
    <t>Estacionalidad + depreciación + siniestros</t>
  </si>
  <si>
    <t>RANKING RECOMENDADO A 10 AÑOS</t>
  </si>
  <si>
    <t>Notaría + Registro</t>
  </si>
  <si>
    <t>Puntuación</t>
  </si>
  <si>
    <t>Condición crítica</t>
  </si>
  <si>
    <t>Estimación</t>
  </si>
  <si>
    <t>Decisión</t>
  </si>
  <si>
    <t>Agencia</t>
  </si>
  <si>
    <t>1. Águilas 35k → vivienda</t>
  </si>
  <si>
    <t>8.8/10</t>
  </si>
  <si>
    <t>Estimación 3% + IVA; sustituir por factura real</t>
  </si>
  <si>
    <t>Cambio de uso viable y coste total conversión &lt;=15k</t>
  </si>
  <si>
    <t>Due diligence</t>
  </si>
  <si>
    <t>MEJOR INVERSIÓN DE LARGO PLAZO BASE</t>
  </si>
  <si>
    <t>2. Reus 22k → 11 trasteros</t>
  </si>
  <si>
    <t>Adaptación inicial IT</t>
  </si>
  <si>
    <t>8.6/10</t>
  </si>
  <si>
    <t>Oferta 22k + licencia + caben 11 unidades + renta media &gt;=60€</t>
  </si>
  <si>
    <t>Local casi listo</t>
  </si>
  <si>
    <t>MEJOR CASH YIELD INMOBILIARIO</t>
  </si>
  <si>
    <t>Total adquisición</t>
  </si>
  <si>
    <t>3. 2 L3H2 alquiler Madrid</t>
  </si>
  <si>
    <t>8.2/10</t>
  </si>
  <si>
    <t>Ocupación/seguro/siniestros según modelo</t>
  </si>
  <si>
    <t>MEJOR RETORNO PURO, MAYOR TRABAJO</t>
  </si>
  <si>
    <t>4. Tinamus → vivienda</t>
  </si>
  <si>
    <t>7.6/10</t>
  </si>
  <si>
    <t>Viabilidad cambio de uso + financiación + reforma</t>
  </si>
  <si>
    <t>Calculado</t>
  </si>
  <si>
    <t>MAYOR UPSIDE ABSOLUTO, NO MEJOR EFICIENCIA DE CAPITAL</t>
  </si>
  <si>
    <t>Opex local años 1-2</t>
  </si>
  <si>
    <t>5. Camper</t>
  </si>
  <si>
    <t>EUR/año</t>
  </si>
  <si>
    <t>6.4/10</t>
  </si>
  <si>
    <t>TIR 10 años</t>
  </si>
  <si>
    <t>Ocupación estacional fuerte</t>
  </si>
  <si>
    <t>IBI + comunidad + seguro + mantenimiento, estimación</t>
  </si>
  <si>
    <t>NO PRIORIZAR</t>
  </si>
  <si>
    <t>Cambio de uso + reforma</t>
  </si>
  <si>
    <t>6. Local genérico</t>
  </si>
  <si>
    <t>Escenario base: poca reforma física, sí proyecto/licencias/legalización</t>
  </si>
  <si>
    <t>Falta modelo de ingresos</t>
  </si>
  <si>
    <t>Valor vivienda post-cambio</t>
  </si>
  <si>
    <t>NO RANKEABLE</t>
  </si>
  <si>
    <t>CORRECCIÓN IMPORTANTE — REUS</t>
  </si>
  <si>
    <t>Hipótesis conservadora frente a comparables actuales</t>
  </si>
  <si>
    <t>El modelo anterior usaba 9.240€/año diciendo 90% de ocupación. Eso es matemáticamente 100%: 11 × 70 × 12 = 9.240. A 90% serían 8.316€ si el precio fuese 70€.</t>
  </si>
  <si>
    <t>Renta vivienda inicial</t>
  </si>
  <si>
    <t>Además, mercado actual de Reus muestra 4m² a ~55-60€/mes, 7m² a 65€ y 12m² a 75€. Por eso el caso BASE usa 60€/mes; 70€ queda como optimista.</t>
  </si>
  <si>
    <t>EUR/mes</t>
  </si>
  <si>
    <t>VEREDICTO</t>
  </si>
  <si>
    <t>Si el arquitecto confirma Águilas y el cambio completo cabe en ~14,5k, elegiría ÁGUILAS. Si falla esa condición, mi segunda elección sería REUS a 22k. Si tu prioridad es maximizar caja y aceptas operar activamente, L3H2 supera a ambas en TIR.</t>
  </si>
  <si>
    <t>Base prudente; comparable 60m² reformado anunciado 795 €/mes</t>
  </si>
  <si>
    <t>Vacancia / impago</t>
  </si>
  <si>
    <t>Supuesto</t>
  </si>
  <si>
    <t>Mantenimiento variable</t>
  </si>
  <si>
    <t>% ingresos</t>
  </si>
  <si>
    <t>Opex fijo vivienda</t>
  </si>
  <si>
    <t>IBI + comunidad + seguro + otros</t>
  </si>
  <si>
    <t>Crecimiento renta</t>
  </si>
  <si>
    <t>Revalorización inmueble</t>
  </si>
  <si>
    <t>Fuente alquiler comparable</t>
  </si>
  <si>
    <t>https://www.idealista.com/inmueble/111844477/</t>
  </si>
  <si>
    <t>REUS 66m² → 11 TRASTEROS — OFERTA 22.000 €</t>
  </si>
  <si>
    <t>REUS — 66m² → 11 TRASTEROS</t>
  </si>
  <si>
    <t>Ingresos brutos</t>
  </si>
  <si>
    <t>Valor negocio/activo</t>
  </si>
  <si>
    <t>Compra + reforma</t>
  </si>
  <si>
    <t>Precio oferta</t>
  </si>
  <si>
    <t>Oferta simulada</t>
  </si>
  <si>
    <t>ITP Cataluña</t>
  </si>
  <si>
    <t>Tipo general &lt;=600k</t>
  </si>
  <si>
    <t>Notaría + Registro + gestoría compra</t>
  </si>
  <si>
    <t>Reforma + divisiones + licencias</t>
  </si>
  <si>
    <t>Ramp-up 50%</t>
  </si>
  <si>
    <t>11 unidades + instalaciones + seguridad</t>
  </si>
  <si>
    <t>Software / web / lanzamiento</t>
  </si>
  <si>
    <t>Fondo de reserva</t>
  </si>
  <si>
    <t>Caja inicial</t>
  </si>
  <si>
    <t>Total all-in</t>
  </si>
  <si>
    <t>Nº trasteros</t>
  </si>
  <si>
    <t>unidades</t>
  </si>
  <si>
    <t>Hipótesis; validar plano útil y pasillos</t>
  </si>
  <si>
    <t>Renta base por unidad</t>
  </si>
  <si>
    <t>Ocupación 90%</t>
  </si>
  <si>
    <t>CORREGIDO: mercado actual 4m² en Reus ~55-60 €/mes; 70€ es optimista</t>
  </si>
  <si>
    <t>Ocupación año 1</t>
  </si>
  <si>
    <t>Ramp-up</t>
  </si>
  <si>
    <t>Ocupación estabilizada</t>
  </si>
  <si>
    <t>Equivale a 9,9 unidades, no 11</t>
  </si>
  <si>
    <t>Opex año 1</t>
  </si>
  <si>
    <t>170 €/mes</t>
  </si>
  <si>
    <t>Crecimiento opex</t>
  </si>
  <si>
    <t>Cap rate terminal</t>
  </si>
  <si>
    <t>Estabilizado</t>
  </si>
  <si>
    <t>Supuesto conservador para micro-storage local</t>
  </si>
  <si>
    <t>Costes venta terminal</t>
  </si>
  <si>
    <t>Fuente ITP Cataluña</t>
  </si>
  <si>
    <t>https://atc.gencat.cat/es/tributs/itpajd/tpo/tarifes-tipus/</t>
  </si>
  <si>
    <t>TINAMUS 25 — MODELO UNLEVERED / PROYECTO COMPLETO</t>
  </si>
  <si>
    <t>Fuente alquiler Reus</t>
  </si>
  <si>
    <t>https://www.idealista.com/alquiler-trasteros/reus/centre/</t>
  </si>
  <si>
    <t>Compra + puesta IT</t>
  </si>
  <si>
    <t>TINAMUS 25 — IT → VIVIENDA</t>
  </si>
  <si>
    <t>Dato del análisis previo</t>
  </si>
  <si>
    <t>Gastos adquisición</t>
  </si>
  <si>
    <t>ITP + notaría/registro/tasación, redondeado</t>
  </si>
  <si>
    <t>Acondicionamiento IT</t>
  </si>
  <si>
    <t>Base</t>
  </si>
  <si>
    <t>Punto medio rango 30-35k</t>
  </si>
  <si>
    <t>Total proyecto sin deuda</t>
  </si>
  <si>
    <t>Valor post-cambio</t>
  </si>
  <si>
    <t>Escenario central previo</t>
  </si>
  <si>
    <t>Renta residencial inicial</t>
  </si>
  <si>
    <t>Opex residencial</t>
  </si>
  <si>
    <t>Vacancia+mantenimiento+IBI+comunidad+seguro, simplificado</t>
  </si>
  <si>
    <t>Revalorización</t>
  </si>
  <si>
    <t>Préstamo adquisición</t>
  </si>
  <si>
    <t>Escenario Barbell</t>
  </si>
  <si>
    <t>Tipo préstamo</t>
  </si>
  <si>
    <t>Plazo</t>
  </si>
  <si>
    <t>años</t>
  </si>
  <si>
    <t>Opex local preconversión</t>
  </si>
  <si>
    <t>Nota</t>
  </si>
  <si>
    <t>La TIR de 18,5% usada antes no es comparable si omite el capex futuro de conversión; aquí se modela el proyecto completo.</t>
  </si>
  <si>
    <t>VEHÍCULOS</t>
  </si>
  <si>
    <t>VEHÍCULOS — PROYECCIÓN 10 AÑOS</t>
  </si>
  <si>
    <t>2 L3H2 — inversión inicial</t>
  </si>
  <si>
    <t>L3H2 flujo neto</t>
  </si>
  <si>
    <t>L3H2 acumulado</t>
  </si>
  <si>
    <t>L3H2 valor residual</t>
  </si>
  <si>
    <t>Camper flujo neto</t>
  </si>
  <si>
    <t>Camper acumulado</t>
  </si>
  <si>
    <t>Camper valor residual</t>
  </si>
  <si>
    <t>Modelo previo</t>
  </si>
  <si>
    <t>2 L3H2 — caja neta anual</t>
  </si>
  <si>
    <t>Conversión</t>
  </si>
  <si>
    <t>Modelo previo base</t>
  </si>
  <si>
    <t>2 L3H2 — valor residual año 10</t>
  </si>
  <si>
    <t>Ajustado para reproducir ~115.972€ de valor económico acumulado</t>
  </si>
  <si>
    <t>Camper — inversión inicial</t>
  </si>
  <si>
    <t>Camper — caja neta anual</t>
  </si>
  <si>
    <t>Camper — valor residual año 10</t>
  </si>
  <si>
    <t>Nota clave</t>
  </si>
  <si>
    <t>El modelo anterior sobreestimaba ingresos: 11 × 70 € × 12 = 9.240 € corresponde a 100% ocupación, no 90%. Base corregida usa 60 €/mes y 90% estabilizado.</t>
  </si>
  <si>
    <t>TIR L3H2</t>
  </si>
  <si>
    <t>TIR Camper</t>
  </si>
  <si>
    <t>TIR proyecto sin deuda</t>
  </si>
  <si>
    <t>Comparación homogénea: se incluye compra, reforma futura y costes pre-conversión. La rentabilidad sobre solo 38-42k de equity sería mayor únicamente si el resto lo financian deuda/beneficios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</si>
</sst>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 &quot;€&quot;;[Red](#,##0 &quot;€&quot;)"/>
    <numFmt numFmtId="165" formatCode="0.0%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4.0"/>
      <color rgb="FFFFFFFF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42D51"/>
        <bgColor rgb="FF142D51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0" xfId="0" applyFont="1"/>
    <xf borderId="0" fillId="0" fontId="2" numFmtId="165" xfId="0" applyFont="1" applyNumberFormat="1"/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Fill="1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9" xfId="0" applyFont="1" applyNumberFormat="1"/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Resum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ues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uest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uestos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7" displayName="Tabla_1" name="Tabla_1" id="2">
  <tableColumns count="5">
    <tableColumn name="Criterio" id="1"/>
    <tableColumn name="#1" id="2"/>
    <tableColumn name="#2" id="3"/>
    <tableColumn name="#3" id="4"/>
    <tableColumn name="Comentario" id="5"/>
  </tableColumns>
  <tableStyleInfo name="Resumen-style" showColumnStripes="0" showFirstColumn="1" showLastColumn="1" showRowStripes="1"/>
</table>
</file>

<file path=xl/tables/table2.xml><?xml version="1.0" encoding="utf-8"?>
<table xmlns="http://schemas.openxmlformats.org/spreadsheetml/2006/main" ref="A9:D15" displayName="Tabla_2" name="Tabla_2" id="4">
  <tableColumns count="4">
    <tableColumn name="RANKING RECOMENDADO A 10 AÑOS" id="1"/>
    <tableColumn name="Puntuación" id="2"/>
    <tableColumn name="Condición crítica" id="3"/>
    <tableColumn name="Decisión" id="4"/>
  </tableColumns>
  <tableStyleInfo name="Resumen-style 2" showColumnStripes="0" showFirstColumn="1" showLastColumn="1" showRowStripes="1"/>
</table>
</file>

<file path=xl/tables/table3.xml><?xml version="1.0" encoding="utf-8"?>
<table xmlns="http://schemas.openxmlformats.org/spreadsheetml/2006/main" ref="A6:D23" displayName="Tabla_3" name="Tabla_3" id="1">
  <tableColumns count="4">
    <tableColumn name="ÁGUILAS — LOCAL 35K → VIVIENDA" id="1"/>
    <tableColumn name="Columna 1" id="2"/>
    <tableColumn name="Columna 2" id="3"/>
    <tableColumn name="Columna 3" id="4"/>
  </tableColumns>
  <tableStyleInfo name="Supuestos-style" showColumnStripes="0" showFirstColumn="1" showLastColumn="1" showRowStripes="1"/>
</table>
</file>

<file path=xl/tables/table4.xml><?xml version="1.0" encoding="utf-8"?>
<table xmlns="http://schemas.openxmlformats.org/spreadsheetml/2006/main" ref="A25:D43" displayName="Tabla_4" name="Tabla_4" id="3">
  <tableColumns count="4">
    <tableColumn name="REUS — 66m² → 11 TRASTEROS" id="1"/>
    <tableColumn name="Columna 1" id="2"/>
    <tableColumn name="Columna 2" id="3"/>
    <tableColumn name="Columna 3" id="4"/>
  </tableColumns>
  <tableStyleInfo name="Supuestos-style 2" showColumnStripes="0" showFirstColumn="1" showLastColumn="1" showRowStripes="1"/>
</table>
</file>

<file path=xl/tables/table5.xml><?xml version="1.0" encoding="utf-8"?>
<table xmlns="http://schemas.openxmlformats.org/spreadsheetml/2006/main" ref="A62:D68" displayName="Tabla_5" name="Tabla_5" id="5">
  <tableColumns count="4">
    <tableColumn name="VEHÍCULOS" id="1"/>
    <tableColumn name="Columna 1" id="2"/>
    <tableColumn name="Columna 2" id="3"/>
    <tableColumn name="Columna 3" id="4"/>
  </tableColumns>
  <tableStyleInfo name="Supuesto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genciatributaria.carm.es/documents/20632/1675724/TRIBUTOS%2BCEDIDOS%2BY%2BPROPIOS.pdf/be1014f0-3bcb-4759-9cdf-f3a15d80c2be?version=1.0" TargetMode="External"/><Relationship Id="rId2" Type="http://schemas.openxmlformats.org/officeDocument/2006/relationships/hyperlink" Target="https://www.idealista.com/inmueble/111844477/" TargetMode="External"/><Relationship Id="rId3" Type="http://schemas.openxmlformats.org/officeDocument/2006/relationships/hyperlink" Target="https://atc.gencat.cat/es/tributs/itpajd/tpo/tarifes-tipus/" TargetMode="External"/><Relationship Id="rId4" Type="http://schemas.openxmlformats.org/officeDocument/2006/relationships/hyperlink" Target="https://www.idealista.com/alquiler-trasteros/reus/centre/" TargetMode="Externa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19.5"/>
    <col customWidth="1" min="3" max="3" width="27.0"/>
    <col customWidth="1" min="4" max="4" width="35.38"/>
    <col customWidth="1" min="5" max="5" width="37.63"/>
  </cols>
  <sheetData>
    <row r="1">
      <c r="A1" s="9"/>
      <c r="B1" s="10"/>
      <c r="C1" s="10"/>
      <c r="D1" s="10"/>
      <c r="E1" s="10"/>
    </row>
    <row r="2" ht="22.5" customHeight="1">
      <c r="A2" s="11" t="s">
        <v>49</v>
      </c>
      <c r="B2" s="11" t="s">
        <v>59</v>
      </c>
      <c r="C2" s="11" t="s">
        <v>61</v>
      </c>
      <c r="D2" s="11" t="s">
        <v>63</v>
      </c>
      <c r="E2" s="11" t="s">
        <v>65</v>
      </c>
    </row>
    <row r="3" ht="22.5" customHeight="1">
      <c r="A3" s="13" t="s">
        <v>66</v>
      </c>
      <c r="B3" s="13" t="s">
        <v>75</v>
      </c>
      <c r="C3" s="13" t="s">
        <v>76</v>
      </c>
      <c r="D3" s="13" t="s">
        <v>77</v>
      </c>
      <c r="E3" s="13" t="s">
        <v>79</v>
      </c>
    </row>
    <row r="4" ht="22.5" customHeight="1">
      <c r="A4" s="13" t="s">
        <v>80</v>
      </c>
      <c r="B4" s="13" t="s">
        <v>26</v>
      </c>
      <c r="C4" s="13" t="s">
        <v>76</v>
      </c>
      <c r="D4" s="13" t="s">
        <v>75</v>
      </c>
      <c r="E4" s="13" t="s">
        <v>82</v>
      </c>
    </row>
    <row r="5" ht="22.5" customHeight="1">
      <c r="A5" s="13" t="s">
        <v>83</v>
      </c>
      <c r="B5" s="13" t="s">
        <v>76</v>
      </c>
      <c r="C5" s="13" t="s">
        <v>85</v>
      </c>
      <c r="D5" s="13" t="s">
        <v>86</v>
      </c>
      <c r="E5" s="13" t="s">
        <v>87</v>
      </c>
    </row>
    <row r="6" ht="22.5" customHeight="1">
      <c r="A6" s="13" t="s">
        <v>88</v>
      </c>
      <c r="B6" s="13" t="s">
        <v>89</v>
      </c>
      <c r="C6" s="13" t="s">
        <v>77</v>
      </c>
      <c r="D6" s="13" t="s">
        <v>90</v>
      </c>
      <c r="E6" s="13" t="s">
        <v>91</v>
      </c>
    </row>
    <row r="7" ht="22.5" customHeight="1">
      <c r="A7" s="13" t="s">
        <v>92</v>
      </c>
      <c r="B7" s="13" t="s">
        <v>58</v>
      </c>
      <c r="E7" s="13" t="s">
        <v>93</v>
      </c>
    </row>
    <row r="9" ht="22.5" customHeight="1">
      <c r="A9" s="11" t="s">
        <v>94</v>
      </c>
      <c r="B9" s="11" t="s">
        <v>96</v>
      </c>
      <c r="C9" s="11" t="s">
        <v>97</v>
      </c>
      <c r="D9" s="11" t="s">
        <v>99</v>
      </c>
    </row>
    <row r="10" ht="22.5" customHeight="1">
      <c r="A10" s="13" t="s">
        <v>101</v>
      </c>
      <c r="B10" s="13" t="s">
        <v>102</v>
      </c>
      <c r="C10" s="13" t="s">
        <v>104</v>
      </c>
      <c r="D10" s="13" t="s">
        <v>106</v>
      </c>
    </row>
    <row r="11" ht="22.5" customHeight="1">
      <c r="A11" s="13" t="s">
        <v>107</v>
      </c>
      <c r="B11" s="13" t="s">
        <v>109</v>
      </c>
      <c r="C11" s="13" t="s">
        <v>110</v>
      </c>
      <c r="D11" s="13" t="s">
        <v>112</v>
      </c>
    </row>
    <row r="12" ht="22.5" customHeight="1">
      <c r="A12" s="13" t="s">
        <v>114</v>
      </c>
      <c r="B12" s="13" t="s">
        <v>115</v>
      </c>
      <c r="C12" s="13" t="s">
        <v>116</v>
      </c>
      <c r="D12" s="13" t="s">
        <v>117</v>
      </c>
    </row>
    <row r="13" ht="22.5" customHeight="1">
      <c r="A13" s="13" t="s">
        <v>118</v>
      </c>
      <c r="B13" s="13" t="s">
        <v>119</v>
      </c>
      <c r="C13" s="13" t="s">
        <v>120</v>
      </c>
      <c r="D13" s="13" t="s">
        <v>122</v>
      </c>
    </row>
    <row r="14" ht="22.5" customHeight="1">
      <c r="A14" s="13" t="s">
        <v>124</v>
      </c>
      <c r="B14" s="13" t="s">
        <v>126</v>
      </c>
      <c r="C14" s="13" t="s">
        <v>128</v>
      </c>
      <c r="D14" s="13" t="s">
        <v>130</v>
      </c>
    </row>
    <row r="15" ht="22.5" customHeight="1">
      <c r="A15" s="13" t="s">
        <v>132</v>
      </c>
      <c r="B15" s="13" t="s">
        <v>72</v>
      </c>
      <c r="C15" s="13" t="s">
        <v>134</v>
      </c>
      <c r="D15" s="13" t="s">
        <v>136</v>
      </c>
    </row>
    <row r="17">
      <c r="A17" s="3" t="s">
        <v>137</v>
      </c>
    </row>
    <row r="18">
      <c r="A18" s="3" t="s">
        <v>139</v>
      </c>
    </row>
    <row r="19">
      <c r="A19" s="3" t="s">
        <v>141</v>
      </c>
    </row>
    <row r="21">
      <c r="A21" s="3" t="s">
        <v>143</v>
      </c>
      <c r="B21" s="3" t="s">
        <v>144</v>
      </c>
    </row>
  </sheetData>
  <mergeCells count="1">
    <mergeCell ref="B21:F21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13"/>
    <col customWidth="1" min="2" max="2" width="16.75"/>
    <col customWidth="1" min="3" max="3" width="13.5"/>
    <col customWidth="1" min="4" max="4" width="37.63"/>
  </cols>
  <sheetData>
    <row r="1">
      <c r="A1" s="8" t="s">
        <v>33</v>
      </c>
      <c r="B1" s="8" t="s">
        <v>38</v>
      </c>
      <c r="C1" s="8" t="s">
        <v>39</v>
      </c>
      <c r="D1" s="8" t="s">
        <v>40</v>
      </c>
    </row>
    <row r="2">
      <c r="A2" s="3" t="s">
        <v>41</v>
      </c>
      <c r="B2" s="3">
        <v>45000.0</v>
      </c>
      <c r="C2" s="3" t="s">
        <v>42</v>
      </c>
      <c r="D2" s="3" t="s">
        <v>43</v>
      </c>
    </row>
    <row r="3">
      <c r="A3" s="3" t="s">
        <v>44</v>
      </c>
      <c r="B3" s="3">
        <v>0.02</v>
      </c>
      <c r="C3" s="3" t="s">
        <v>45</v>
      </c>
      <c r="D3" s="3" t="s">
        <v>46</v>
      </c>
    </row>
    <row r="4">
      <c r="A4" s="3" t="s">
        <v>47</v>
      </c>
      <c r="B4" s="3">
        <v>0.05</v>
      </c>
      <c r="C4" s="3" t="s">
        <v>45</v>
      </c>
      <c r="D4" s="3" t="s">
        <v>48</v>
      </c>
    </row>
    <row r="6" ht="22.5" customHeight="1">
      <c r="A6" s="11" t="s">
        <v>50</v>
      </c>
      <c r="B6" s="12" t="s">
        <v>60</v>
      </c>
      <c r="C6" s="12" t="s">
        <v>62</v>
      </c>
      <c r="D6" s="12" t="s">
        <v>64</v>
      </c>
    </row>
    <row r="7" ht="22.5" customHeight="1">
      <c r="A7" s="13" t="s">
        <v>67</v>
      </c>
      <c r="B7" s="14">
        <v>35000.0</v>
      </c>
      <c r="C7" s="13" t="s">
        <v>42</v>
      </c>
      <c r="D7" s="13" t="s">
        <v>78</v>
      </c>
    </row>
    <row r="8" ht="22.5" customHeight="1">
      <c r="A8" s="13" t="s">
        <v>81</v>
      </c>
      <c r="B8" s="14">
        <v>0.0775</v>
      </c>
      <c r="C8" s="13" t="s">
        <v>45</v>
      </c>
      <c r="D8" s="15" t="s">
        <v>84</v>
      </c>
    </row>
    <row r="9" ht="22.5" customHeight="1">
      <c r="A9" s="13" t="s">
        <v>95</v>
      </c>
      <c r="B9" s="14">
        <v>1000.0</v>
      </c>
      <c r="C9" s="13" t="s">
        <v>42</v>
      </c>
      <c r="D9" s="13" t="s">
        <v>98</v>
      </c>
    </row>
    <row r="10" ht="22.5" customHeight="1">
      <c r="A10" s="13" t="s">
        <v>100</v>
      </c>
      <c r="B10" s="14">
        <v>1271.0</v>
      </c>
      <c r="C10" s="13" t="s">
        <v>42</v>
      </c>
      <c r="D10" s="13" t="s">
        <v>103</v>
      </c>
    </row>
    <row r="11" ht="22.5" customHeight="1">
      <c r="A11" s="13" t="s">
        <v>105</v>
      </c>
      <c r="B11" s="14">
        <v>500.0</v>
      </c>
      <c r="C11" s="13" t="s">
        <v>42</v>
      </c>
      <c r="D11" s="13" t="s">
        <v>98</v>
      </c>
    </row>
    <row r="12" ht="22.5" customHeight="1">
      <c r="A12" s="13" t="s">
        <v>108</v>
      </c>
      <c r="B12" s="14">
        <v>500.0</v>
      </c>
      <c r="C12" s="13" t="s">
        <v>42</v>
      </c>
      <c r="D12" s="13" t="s">
        <v>111</v>
      </c>
    </row>
    <row r="13" ht="22.5" customHeight="1">
      <c r="A13" s="13" t="s">
        <v>113</v>
      </c>
      <c r="B13" s="16">
        <f>B7*(1+B8)+B9+B10+B11+B12</f>
        <v>40983.5</v>
      </c>
      <c r="C13" s="13" t="s">
        <v>42</v>
      </c>
      <c r="D13" s="13" t="s">
        <v>121</v>
      </c>
    </row>
    <row r="14" ht="22.5" customHeight="1">
      <c r="A14" s="13" t="s">
        <v>123</v>
      </c>
      <c r="B14" s="14">
        <v>900.0</v>
      </c>
      <c r="C14" s="13" t="s">
        <v>125</v>
      </c>
      <c r="D14" s="13" t="s">
        <v>129</v>
      </c>
    </row>
    <row r="15" ht="22.5" customHeight="1">
      <c r="A15" s="13" t="s">
        <v>131</v>
      </c>
      <c r="B15" s="14">
        <v>14500.0</v>
      </c>
      <c r="C15" s="13" t="s">
        <v>42</v>
      </c>
      <c r="D15" s="13" t="s">
        <v>133</v>
      </c>
    </row>
    <row r="16" ht="22.5" customHeight="1">
      <c r="A16" s="13" t="s">
        <v>135</v>
      </c>
      <c r="B16" s="14">
        <v>82500.0</v>
      </c>
      <c r="C16" s="13" t="s">
        <v>42</v>
      </c>
      <c r="D16" s="13" t="s">
        <v>138</v>
      </c>
    </row>
    <row r="17" ht="22.5" customHeight="1">
      <c r="A17" s="13" t="s">
        <v>140</v>
      </c>
      <c r="B17" s="14">
        <v>600.0</v>
      </c>
      <c r="C17" s="13" t="s">
        <v>142</v>
      </c>
      <c r="D17" s="13" t="s">
        <v>145</v>
      </c>
    </row>
    <row r="18" ht="22.5" customHeight="1">
      <c r="A18" s="13" t="s">
        <v>146</v>
      </c>
      <c r="B18" s="14">
        <v>0.05</v>
      </c>
      <c r="C18" s="13" t="s">
        <v>45</v>
      </c>
      <c r="D18" s="13" t="s">
        <v>147</v>
      </c>
    </row>
    <row r="19" ht="22.5" customHeight="1">
      <c r="A19" s="13" t="s">
        <v>148</v>
      </c>
      <c r="B19" s="14">
        <v>0.08</v>
      </c>
      <c r="C19" s="13" t="s">
        <v>149</v>
      </c>
      <c r="D19" s="13" t="s">
        <v>147</v>
      </c>
    </row>
    <row r="20" ht="22.5" customHeight="1">
      <c r="A20" s="13" t="s">
        <v>150</v>
      </c>
      <c r="B20" s="14">
        <v>900.0</v>
      </c>
      <c r="C20" s="13" t="s">
        <v>125</v>
      </c>
      <c r="D20" s="13" t="s">
        <v>151</v>
      </c>
    </row>
    <row r="21" ht="22.5" customHeight="1">
      <c r="A21" s="13" t="s">
        <v>152</v>
      </c>
      <c r="B21" s="14">
        <v>0.02</v>
      </c>
      <c r="C21" s="13" t="s">
        <v>45</v>
      </c>
      <c r="D21" s="13" t="s">
        <v>147</v>
      </c>
    </row>
    <row r="22" ht="22.5" customHeight="1">
      <c r="A22" s="13" t="s">
        <v>153</v>
      </c>
      <c r="B22" s="14">
        <v>0.02</v>
      </c>
      <c r="C22" s="13" t="s">
        <v>45</v>
      </c>
      <c r="D22" s="13" t="s">
        <v>147</v>
      </c>
    </row>
    <row r="23" ht="22.5" customHeight="1">
      <c r="A23" s="13" t="s">
        <v>154</v>
      </c>
      <c r="B23" s="16"/>
      <c r="D23" s="15" t="s">
        <v>155</v>
      </c>
    </row>
    <row r="25" ht="22.5" customHeight="1">
      <c r="A25" s="11" t="s">
        <v>157</v>
      </c>
      <c r="B25" s="12" t="s">
        <v>60</v>
      </c>
      <c r="C25" s="12" t="s">
        <v>62</v>
      </c>
      <c r="D25" s="12" t="s">
        <v>64</v>
      </c>
    </row>
    <row r="26" ht="22.5" customHeight="1">
      <c r="A26" s="13" t="s">
        <v>161</v>
      </c>
      <c r="B26" s="13">
        <v>22000.0</v>
      </c>
      <c r="C26" s="13" t="s">
        <v>42</v>
      </c>
      <c r="D26" s="13" t="s">
        <v>162</v>
      </c>
    </row>
    <row r="27" ht="22.5" customHeight="1">
      <c r="A27" s="13" t="s">
        <v>163</v>
      </c>
      <c r="B27" s="13">
        <v>0.1</v>
      </c>
      <c r="C27" s="13" t="s">
        <v>45</v>
      </c>
      <c r="D27" s="13" t="s">
        <v>164</v>
      </c>
    </row>
    <row r="28" ht="22.5" customHeight="1">
      <c r="A28" s="13" t="s">
        <v>165</v>
      </c>
      <c r="B28" s="13">
        <v>1450.0</v>
      </c>
      <c r="C28" s="13" t="s">
        <v>42</v>
      </c>
      <c r="D28" s="13" t="s">
        <v>98</v>
      </c>
    </row>
    <row r="29" ht="22.5" customHeight="1">
      <c r="A29" s="13" t="s">
        <v>166</v>
      </c>
      <c r="B29" s="13">
        <v>17500.0</v>
      </c>
      <c r="C29" s="13" t="s">
        <v>42</v>
      </c>
      <c r="D29" s="13" t="s">
        <v>168</v>
      </c>
    </row>
    <row r="30" ht="22.5" customHeight="1">
      <c r="A30" s="13" t="s">
        <v>169</v>
      </c>
      <c r="B30" s="13">
        <v>850.0</v>
      </c>
      <c r="C30" s="13" t="s">
        <v>42</v>
      </c>
      <c r="D30" s="13" t="s">
        <v>98</v>
      </c>
    </row>
    <row r="31" ht="22.5" customHeight="1">
      <c r="A31" s="13" t="s">
        <v>170</v>
      </c>
      <c r="B31" s="13">
        <v>1000.0</v>
      </c>
      <c r="C31" s="13" t="s">
        <v>42</v>
      </c>
      <c r="D31" s="13" t="s">
        <v>171</v>
      </c>
    </row>
    <row r="32" ht="22.5" customHeight="1">
      <c r="A32" s="13" t="s">
        <v>172</v>
      </c>
      <c r="B32" s="18">
        <f>B26*(1+B27)+B28+B29+B30+B31</f>
        <v>45000</v>
      </c>
      <c r="C32" s="13" t="s">
        <v>42</v>
      </c>
      <c r="D32" s="13" t="s">
        <v>121</v>
      </c>
    </row>
    <row r="33" ht="22.5" customHeight="1">
      <c r="A33" s="13" t="s">
        <v>173</v>
      </c>
      <c r="B33" s="13">
        <v>11.0</v>
      </c>
      <c r="C33" s="13" t="s">
        <v>174</v>
      </c>
      <c r="D33" s="13" t="s">
        <v>175</v>
      </c>
    </row>
    <row r="34" ht="22.5" customHeight="1">
      <c r="A34" s="13" t="s">
        <v>176</v>
      </c>
      <c r="B34" s="13">
        <v>60.0</v>
      </c>
      <c r="C34" s="13" t="s">
        <v>142</v>
      </c>
      <c r="D34" s="13" t="s">
        <v>178</v>
      </c>
    </row>
    <row r="35" ht="22.5" customHeight="1">
      <c r="A35" s="13" t="s">
        <v>179</v>
      </c>
      <c r="B35" s="13">
        <v>0.5</v>
      </c>
      <c r="C35" s="13" t="s">
        <v>45</v>
      </c>
      <c r="D35" s="13" t="s">
        <v>180</v>
      </c>
    </row>
    <row r="36" ht="22.5" customHeight="1">
      <c r="A36" s="13" t="s">
        <v>181</v>
      </c>
      <c r="B36" s="13">
        <v>0.9</v>
      </c>
      <c r="C36" s="13" t="s">
        <v>45</v>
      </c>
      <c r="D36" s="13" t="s">
        <v>182</v>
      </c>
    </row>
    <row r="37" ht="22.5" customHeight="1">
      <c r="A37" s="13" t="s">
        <v>183</v>
      </c>
      <c r="B37" s="13">
        <v>2040.0</v>
      </c>
      <c r="C37" s="13" t="s">
        <v>125</v>
      </c>
      <c r="D37" s="13" t="s">
        <v>184</v>
      </c>
    </row>
    <row r="38" ht="22.5" customHeight="1">
      <c r="A38" s="13" t="s">
        <v>152</v>
      </c>
      <c r="B38" s="13">
        <v>0.02</v>
      </c>
      <c r="C38" s="13" t="s">
        <v>45</v>
      </c>
      <c r="D38" s="13" t="s">
        <v>147</v>
      </c>
    </row>
    <row r="39" ht="22.5" customHeight="1">
      <c r="A39" s="13" t="s">
        <v>185</v>
      </c>
      <c r="B39" s="13">
        <v>0.02</v>
      </c>
      <c r="C39" s="13" t="s">
        <v>45</v>
      </c>
      <c r="D39" s="13" t="s">
        <v>147</v>
      </c>
    </row>
    <row r="40" ht="22.5" customHeight="1">
      <c r="A40" s="13" t="s">
        <v>186</v>
      </c>
      <c r="B40" s="13">
        <v>0.09</v>
      </c>
      <c r="C40" s="13" t="s">
        <v>45</v>
      </c>
      <c r="D40" s="13" t="s">
        <v>188</v>
      </c>
    </row>
    <row r="41" ht="22.5" customHeight="1">
      <c r="A41" s="13" t="s">
        <v>189</v>
      </c>
      <c r="B41" s="13">
        <v>0.05</v>
      </c>
      <c r="C41" s="13" t="s">
        <v>45</v>
      </c>
      <c r="D41" s="13" t="s">
        <v>147</v>
      </c>
    </row>
    <row r="42" ht="22.5" customHeight="1">
      <c r="A42" s="13" t="s">
        <v>190</v>
      </c>
      <c r="D42" s="15" t="s">
        <v>191</v>
      </c>
    </row>
    <row r="43" ht="22.5" customHeight="1">
      <c r="A43" s="13" t="s">
        <v>193</v>
      </c>
      <c r="D43" s="15" t="s">
        <v>194</v>
      </c>
    </row>
    <row r="45">
      <c r="A45" s="3" t="s">
        <v>196</v>
      </c>
    </row>
    <row r="46">
      <c r="A46" s="3" t="s">
        <v>67</v>
      </c>
      <c r="B46" s="3">
        <v>99900.0</v>
      </c>
      <c r="C46" s="3" t="s">
        <v>42</v>
      </c>
      <c r="D46" s="3" t="s">
        <v>197</v>
      </c>
    </row>
    <row r="47">
      <c r="A47" s="3" t="s">
        <v>198</v>
      </c>
      <c r="B47" s="3">
        <v>8000.0</v>
      </c>
      <c r="C47" s="3" t="s">
        <v>42</v>
      </c>
      <c r="D47" s="3" t="s">
        <v>199</v>
      </c>
    </row>
    <row r="48">
      <c r="A48" s="3" t="s">
        <v>200</v>
      </c>
      <c r="B48" s="3">
        <v>4000.0</v>
      </c>
      <c r="C48" s="3" t="s">
        <v>42</v>
      </c>
      <c r="D48" s="3" t="s">
        <v>201</v>
      </c>
    </row>
    <row r="49">
      <c r="A49" s="3" t="s">
        <v>131</v>
      </c>
      <c r="B49" s="3">
        <v>32500.0</v>
      </c>
      <c r="C49" s="3" t="s">
        <v>42</v>
      </c>
      <c r="D49" s="3" t="s">
        <v>202</v>
      </c>
    </row>
    <row r="50">
      <c r="A50" s="3" t="s">
        <v>203</v>
      </c>
      <c r="B50" s="6">
        <f>B46+B47+B48+B49</f>
        <v>144400</v>
      </c>
      <c r="C50" s="3" t="s">
        <v>42</v>
      </c>
      <c r="D50" s="3" t="s">
        <v>121</v>
      </c>
    </row>
    <row r="51">
      <c r="A51" s="3" t="s">
        <v>204</v>
      </c>
      <c r="B51" s="3">
        <v>180000.0</v>
      </c>
      <c r="C51" s="3" t="s">
        <v>42</v>
      </c>
      <c r="D51" s="3" t="s">
        <v>205</v>
      </c>
    </row>
    <row r="52">
      <c r="A52" s="3" t="s">
        <v>206</v>
      </c>
      <c r="B52" s="3">
        <v>975.0</v>
      </c>
      <c r="C52" s="3" t="s">
        <v>142</v>
      </c>
      <c r="D52" s="3" t="s">
        <v>205</v>
      </c>
    </row>
    <row r="53">
      <c r="A53" s="3" t="s">
        <v>207</v>
      </c>
      <c r="B53" s="3">
        <v>0.3</v>
      </c>
      <c r="C53" s="3" t="s">
        <v>149</v>
      </c>
      <c r="D53" s="3" t="s">
        <v>208</v>
      </c>
    </row>
    <row r="54">
      <c r="A54" s="3" t="s">
        <v>209</v>
      </c>
      <c r="B54" s="3">
        <v>0.02</v>
      </c>
      <c r="C54" s="3" t="s">
        <v>45</v>
      </c>
      <c r="D54" s="3" t="s">
        <v>147</v>
      </c>
    </row>
    <row r="55">
      <c r="A55" s="3" t="s">
        <v>152</v>
      </c>
      <c r="B55" s="3">
        <v>0.02</v>
      </c>
      <c r="C55" s="3" t="s">
        <v>45</v>
      </c>
      <c r="D55" s="3" t="s">
        <v>147</v>
      </c>
    </row>
    <row r="56">
      <c r="A56" s="3" t="s">
        <v>210</v>
      </c>
      <c r="B56" s="3">
        <v>70000.0</v>
      </c>
      <c r="C56" s="3" t="s">
        <v>42</v>
      </c>
      <c r="D56" s="3" t="s">
        <v>211</v>
      </c>
    </row>
    <row r="57">
      <c r="A57" s="3" t="s">
        <v>212</v>
      </c>
      <c r="B57" s="3">
        <v>0.05</v>
      </c>
      <c r="C57" s="3" t="s">
        <v>45</v>
      </c>
      <c r="D57" s="3" t="s">
        <v>147</v>
      </c>
    </row>
    <row r="58">
      <c r="A58" s="3" t="s">
        <v>213</v>
      </c>
      <c r="B58" s="3">
        <v>15.0</v>
      </c>
      <c r="C58" s="3" t="s">
        <v>214</v>
      </c>
      <c r="D58" s="3" t="s">
        <v>147</v>
      </c>
    </row>
    <row r="59">
      <c r="A59" s="3" t="s">
        <v>215</v>
      </c>
      <c r="B59" s="3">
        <v>1800.0</v>
      </c>
      <c r="C59" s="3" t="s">
        <v>125</v>
      </c>
      <c r="D59" s="3" t="s">
        <v>98</v>
      </c>
    </row>
    <row r="60">
      <c r="A60" s="3" t="s">
        <v>216</v>
      </c>
      <c r="D60" s="3" t="s">
        <v>217</v>
      </c>
    </row>
    <row r="62" ht="22.5" customHeight="1">
      <c r="A62" s="11" t="s">
        <v>218</v>
      </c>
      <c r="B62" s="12" t="s">
        <v>60</v>
      </c>
      <c r="C62" s="12" t="s">
        <v>62</v>
      </c>
      <c r="D62" s="12" t="s">
        <v>64</v>
      </c>
    </row>
    <row r="63" ht="22.5" customHeight="1">
      <c r="A63" s="13" t="s">
        <v>220</v>
      </c>
      <c r="B63" s="13">
        <v>45000.0</v>
      </c>
      <c r="C63" s="13" t="s">
        <v>42</v>
      </c>
      <c r="D63" s="13" t="s">
        <v>227</v>
      </c>
    </row>
    <row r="64" ht="22.5" customHeight="1">
      <c r="A64" s="13" t="s">
        <v>228</v>
      </c>
      <c r="B64" s="13">
        <v>10720.0</v>
      </c>
      <c r="C64" s="13" t="s">
        <v>125</v>
      </c>
      <c r="D64" s="13" t="s">
        <v>230</v>
      </c>
    </row>
    <row r="65" ht="22.5" customHeight="1">
      <c r="A65" s="13" t="s">
        <v>231</v>
      </c>
      <c r="B65" s="13">
        <v>8772.0</v>
      </c>
      <c r="C65" s="13" t="s">
        <v>42</v>
      </c>
      <c r="D65" s="13" t="s">
        <v>232</v>
      </c>
    </row>
    <row r="66" ht="22.5" customHeight="1">
      <c r="A66" s="13" t="s">
        <v>233</v>
      </c>
      <c r="B66" s="13">
        <v>45000.0</v>
      </c>
      <c r="C66" s="13" t="s">
        <v>42</v>
      </c>
      <c r="D66" s="13" t="s">
        <v>227</v>
      </c>
    </row>
    <row r="67" ht="22.5" customHeight="1">
      <c r="A67" s="13" t="s">
        <v>234</v>
      </c>
      <c r="B67" s="13">
        <v>5730.0</v>
      </c>
      <c r="C67" s="13" t="s">
        <v>125</v>
      </c>
      <c r="D67" s="13" t="s">
        <v>230</v>
      </c>
    </row>
    <row r="68" ht="22.5" customHeight="1">
      <c r="A68" s="13" t="s">
        <v>235</v>
      </c>
      <c r="B68" s="13">
        <v>11150.0</v>
      </c>
      <c r="C68" s="13" t="s">
        <v>42</v>
      </c>
      <c r="D68" s="13" t="s">
        <v>227</v>
      </c>
    </row>
  </sheetData>
  <dataValidations>
    <dataValidation type="custom" allowBlank="1" showDropDown="1" sqref="B7:B23">
      <formula1>AND(ISNUMBER(B7),(NOT(OR(NOT(ISERROR(DATEVALUE(B7))), AND(ISNUMBER(B7), LEFT(CELL("format", B7))="D")))))</formula1>
    </dataValidation>
  </dataValidations>
  <hyperlinks>
    <hyperlink r:id="rId1" ref="D8"/>
    <hyperlink r:id="rId2" ref="D23"/>
    <hyperlink r:id="rId3" ref="D42"/>
    <hyperlink r:id="rId4" ref="D43"/>
  </hyperlinks>
  <drawing r:id="rId5"/>
  <tableParts count="3"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1.13"/>
    <col customWidth="1" min="4" max="4" width="18.38"/>
    <col customWidth="1" min="11" max="11" width="15.0"/>
    <col customWidth="1" min="12" max="12" width="51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1" t="s">
        <v>10</v>
      </c>
      <c r="B2" s="1" t="s">
        <v>12</v>
      </c>
      <c r="C2" s="1" t="s">
        <v>14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25</v>
      </c>
    </row>
    <row r="3">
      <c r="A3" s="3" t="s">
        <v>26</v>
      </c>
      <c r="B3" s="5">
        <f>'Aguilas 10A'!I13</f>
        <v>55483.5</v>
      </c>
      <c r="C3" s="5">
        <f>'Aguilas 10A'!F4</f>
        <v>-900</v>
      </c>
      <c r="D3" s="5">
        <f>'Aguilas 10A'!F6</f>
        <v>5364</v>
      </c>
      <c r="E3" s="5">
        <f>'Aguilas 10A'!H13</f>
        <v>96661.89893</v>
      </c>
      <c r="F3" s="5">
        <f>'Aguilas 10A'!G13</f>
        <v>44239.04598</v>
      </c>
      <c r="G3" s="5">
        <f t="shared" ref="G3:G7" si="1">E3+F3</f>
        <v>140900.9449</v>
      </c>
      <c r="H3" s="7">
        <f t="shared" ref="H3:H7" si="2">(G3-B3)/B3</f>
        <v>1.539510754</v>
      </c>
      <c r="I3" s="7">
        <f>'Aguilas 10A'!B15</f>
        <v>0.1146928055</v>
      </c>
      <c r="J3" s="3" t="s">
        <v>28</v>
      </c>
      <c r="K3" s="3" t="s">
        <v>29</v>
      </c>
      <c r="L3" s="3" t="s">
        <v>30</v>
      </c>
    </row>
    <row r="4">
      <c r="A4" s="3" t="s">
        <v>31</v>
      </c>
      <c r="B4" s="5">
        <f>'Reus Trasteros 10A'!I13</f>
        <v>45000</v>
      </c>
      <c r="C4" s="5">
        <f>'Reus Trasteros 10A'!F4</f>
        <v>1920</v>
      </c>
      <c r="D4" s="5">
        <f>'Reus Trasteros 10A'!F5</f>
        <v>5047.2</v>
      </c>
      <c r="E4" s="5">
        <f>'Reus Trasteros 10A'!H13</f>
        <v>65706.65809</v>
      </c>
      <c r="F4" s="5">
        <f>'Reus Trasteros 10A'!G13</f>
        <v>51153.56062</v>
      </c>
      <c r="G4" s="5">
        <f t="shared" si="1"/>
        <v>116860.2187</v>
      </c>
      <c r="H4" s="7">
        <f t="shared" si="2"/>
        <v>1.596893749</v>
      </c>
      <c r="I4" s="7">
        <f>'Reus Trasteros 10A'!B15</f>
        <v>0.1283615829</v>
      </c>
      <c r="J4" s="3" t="s">
        <v>34</v>
      </c>
      <c r="K4" s="3" t="s">
        <v>35</v>
      </c>
      <c r="L4" s="3" t="s">
        <v>36</v>
      </c>
    </row>
    <row r="5">
      <c r="A5" s="3" t="s">
        <v>37</v>
      </c>
      <c r="B5" s="5">
        <f>Supuestos!B63</f>
        <v>45000</v>
      </c>
      <c r="C5" s="5">
        <f>Supuestos!B64</f>
        <v>10720</v>
      </c>
      <c r="D5" s="5">
        <f>Supuestos!B64</f>
        <v>10720</v>
      </c>
      <c r="E5" s="5">
        <f>Supuestos!B65</f>
        <v>8772</v>
      </c>
      <c r="F5" s="5">
        <f>Supuestos!B64*10</f>
        <v>107200</v>
      </c>
      <c r="G5" s="5">
        <f t="shared" si="1"/>
        <v>115972</v>
      </c>
      <c r="H5" s="7">
        <f t="shared" si="2"/>
        <v>1.577155556</v>
      </c>
      <c r="I5" s="7">
        <f>'Vehiculos 10A'!B15</f>
        <v>0.2084818493</v>
      </c>
      <c r="J5" s="3" t="s">
        <v>52</v>
      </c>
      <c r="K5" s="3" t="s">
        <v>53</v>
      </c>
      <c r="L5" s="3" t="s">
        <v>54</v>
      </c>
    </row>
    <row r="6">
      <c r="A6" s="3" t="s">
        <v>55</v>
      </c>
      <c r="B6" s="5">
        <f>'Tinamus 10A'!I13</f>
        <v>144400</v>
      </c>
      <c r="C6" s="5">
        <f>'Tinamus 10A'!F4</f>
        <v>-1800</v>
      </c>
      <c r="D6" s="5">
        <f>'Tinamus 10A'!F6</f>
        <v>8190</v>
      </c>
      <c r="E6" s="5">
        <f>'Tinamus 10A'!H13</f>
        <v>210898.6886</v>
      </c>
      <c r="F6" s="5">
        <f>'Tinamus 10A'!G13</f>
        <v>66694.51652</v>
      </c>
      <c r="G6" s="5">
        <f t="shared" si="1"/>
        <v>277593.2051</v>
      </c>
      <c r="H6" s="7">
        <f t="shared" si="2"/>
        <v>0.922390617</v>
      </c>
      <c r="I6" s="7">
        <f>'Tinamus 10A'!B15</f>
        <v>0.07334525506</v>
      </c>
      <c r="J6" s="3" t="s">
        <v>28</v>
      </c>
      <c r="K6" s="3" t="s">
        <v>56</v>
      </c>
      <c r="L6" s="3" t="s">
        <v>57</v>
      </c>
    </row>
    <row r="7">
      <c r="A7" s="3" t="s">
        <v>58</v>
      </c>
      <c r="B7" s="5">
        <f>Supuestos!B66</f>
        <v>45000</v>
      </c>
      <c r="C7" s="5">
        <f>Supuestos!B67</f>
        <v>5730</v>
      </c>
      <c r="D7" s="5">
        <f>Supuestos!B67</f>
        <v>5730</v>
      </c>
      <c r="E7" s="5">
        <f>Supuestos!B68</f>
        <v>11150</v>
      </c>
      <c r="F7" s="5">
        <f>Supuestos!B67*10</f>
        <v>57300</v>
      </c>
      <c r="G7" s="5">
        <f t="shared" si="1"/>
        <v>68450</v>
      </c>
      <c r="H7" s="7">
        <f t="shared" si="2"/>
        <v>0.5211111111</v>
      </c>
      <c r="I7" s="7">
        <f>'Vehiculos 10A'!B16</f>
        <v>0.07387878328</v>
      </c>
      <c r="J7" s="3" t="s">
        <v>68</v>
      </c>
      <c r="K7" s="3" t="s">
        <v>69</v>
      </c>
      <c r="L7" s="3" t="s">
        <v>70</v>
      </c>
    </row>
    <row r="8">
      <c r="A8" s="3" t="s">
        <v>71</v>
      </c>
      <c r="B8" s="3">
        <v>115000.0</v>
      </c>
      <c r="J8" s="3" t="s">
        <v>72</v>
      </c>
      <c r="K8" s="3" t="s">
        <v>73</v>
      </c>
      <c r="L8" s="3" t="s">
        <v>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11</v>
      </c>
      <c r="J2" s="1" t="s">
        <v>13</v>
      </c>
      <c r="K2" s="1" t="s">
        <v>15</v>
      </c>
    </row>
    <row r="3">
      <c r="A3" s="3">
        <v>0.0</v>
      </c>
      <c r="B3" s="3" t="s">
        <v>24</v>
      </c>
      <c r="C3" s="4">
        <f>-Supuestos!B13</f>
        <v>-40983.5</v>
      </c>
      <c r="D3" s="3">
        <v>0.0</v>
      </c>
      <c r="E3" s="3">
        <v>0.0</v>
      </c>
      <c r="F3" s="3">
        <v>0.0</v>
      </c>
      <c r="G3" s="3">
        <v>0.0</v>
      </c>
      <c r="H3" s="4">
        <f>Supuestos!B7</f>
        <v>35000</v>
      </c>
      <c r="I3" s="4">
        <f>Supuestos!B13</f>
        <v>40983.5</v>
      </c>
      <c r="J3" s="6">
        <f t="shared" ref="J3:J13" si="1">(H3+G3-I3)/I3</f>
        <v>-0.1459977796</v>
      </c>
      <c r="K3" s="4">
        <f>C3</f>
        <v>-40983.5</v>
      </c>
    </row>
    <row r="4">
      <c r="A4" s="3">
        <v>1.0</v>
      </c>
      <c r="B4" s="3" t="s">
        <v>27</v>
      </c>
      <c r="C4" s="3">
        <v>0.0</v>
      </c>
      <c r="D4" s="3">
        <v>0.0</v>
      </c>
      <c r="E4" s="4">
        <f>-Supuestos!B14</f>
        <v>-900</v>
      </c>
      <c r="F4" s="4">
        <f t="shared" ref="F4:F13" si="2">D4+E4</f>
        <v>-900</v>
      </c>
      <c r="G4" s="4">
        <f>F4</f>
        <v>-900</v>
      </c>
      <c r="H4" s="6">
        <f>H3*(1+Supuestos!B22)</f>
        <v>35700</v>
      </c>
      <c r="I4" s="4">
        <f>I3</f>
        <v>40983.5</v>
      </c>
      <c r="J4" s="6">
        <f t="shared" si="1"/>
        <v>-0.1508777923</v>
      </c>
      <c r="K4" s="4">
        <f>F4</f>
        <v>-900</v>
      </c>
    </row>
    <row r="5">
      <c r="A5" s="3">
        <v>2.0</v>
      </c>
      <c r="B5" s="3" t="s">
        <v>32</v>
      </c>
      <c r="C5" s="4">
        <f>-Supuestos!B15</f>
        <v>-14500</v>
      </c>
      <c r="D5" s="3">
        <v>0.0</v>
      </c>
      <c r="E5" s="4">
        <f>-Supuestos!B14</f>
        <v>-900</v>
      </c>
      <c r="F5" s="4">
        <f t="shared" si="2"/>
        <v>-900</v>
      </c>
      <c r="G5" s="4">
        <f t="shared" ref="G5:G13" si="3">G4+F5</f>
        <v>-1800</v>
      </c>
      <c r="H5" s="4">
        <f>Supuestos!B16</f>
        <v>82500</v>
      </c>
      <c r="I5" s="4">
        <f>I4-C5</f>
        <v>55483.5</v>
      </c>
      <c r="J5" s="6">
        <f t="shared" si="1"/>
        <v>0.454486469</v>
      </c>
      <c r="K5" s="4">
        <f>C5+F5</f>
        <v>-15400</v>
      </c>
    </row>
    <row r="6">
      <c r="A6" s="3">
        <v>3.0</v>
      </c>
      <c r="B6" s="3" t="s">
        <v>51</v>
      </c>
      <c r="C6" s="3">
        <v>0.0</v>
      </c>
      <c r="D6" s="6">
        <f>Supuestos!B17*12</f>
        <v>7200</v>
      </c>
      <c r="E6" s="4">
        <f>-(D6*Supuestos!B18+D6*Supuestos!B19+Supuestos!B20)</f>
        <v>-1836</v>
      </c>
      <c r="F6" s="4">
        <f t="shared" si="2"/>
        <v>5364</v>
      </c>
      <c r="G6" s="4">
        <f t="shared" si="3"/>
        <v>3564</v>
      </c>
      <c r="H6" s="6">
        <f>H5*(1+Supuestos!B22)</f>
        <v>84150</v>
      </c>
      <c r="I6" s="4">
        <f t="shared" ref="I6:I13" si="4">I5</f>
        <v>55483.5</v>
      </c>
      <c r="J6" s="6">
        <f t="shared" si="1"/>
        <v>0.5809024305</v>
      </c>
      <c r="K6" s="4">
        <f t="shared" ref="K6:K12" si="5">F6</f>
        <v>5364</v>
      </c>
    </row>
    <row r="7">
      <c r="A7" s="3">
        <v>4.0</v>
      </c>
      <c r="B7" s="3" t="s">
        <v>51</v>
      </c>
      <c r="C7" s="3">
        <v>0.0</v>
      </c>
      <c r="D7" s="6">
        <f>D6*(1+Supuestos!B21)</f>
        <v>7344</v>
      </c>
      <c r="E7" s="6">
        <f>E6*(1+Supuestos!B21)</f>
        <v>-1872.72</v>
      </c>
      <c r="F7" s="6">
        <f t="shared" si="2"/>
        <v>5471.28</v>
      </c>
      <c r="G7" s="4">
        <f t="shared" si="3"/>
        <v>9035.28</v>
      </c>
      <c r="H7" s="6">
        <f>H6*(1+Supuestos!B22)</f>
        <v>85833</v>
      </c>
      <c r="I7" s="4">
        <f t="shared" si="4"/>
        <v>55483.5</v>
      </c>
      <c r="J7" s="6">
        <f t="shared" si="1"/>
        <v>0.7098467112</v>
      </c>
      <c r="K7" s="6">
        <f t="shared" si="5"/>
        <v>5471.28</v>
      </c>
    </row>
    <row r="8">
      <c r="A8" s="3">
        <v>5.0</v>
      </c>
      <c r="B8" s="3" t="s">
        <v>51</v>
      </c>
      <c r="C8" s="3">
        <v>0.0</v>
      </c>
      <c r="D8" s="6">
        <f>D7*(1+Supuestos!B21)</f>
        <v>7490.88</v>
      </c>
      <c r="E8" s="6">
        <f>E7*(1+Supuestos!B21)</f>
        <v>-1910.1744</v>
      </c>
      <c r="F8" s="6">
        <f t="shared" si="2"/>
        <v>5580.7056</v>
      </c>
      <c r="G8" s="4">
        <f t="shared" si="3"/>
        <v>14615.9856</v>
      </c>
      <c r="H8" s="6">
        <f>H7*(1+Supuestos!B22)</f>
        <v>87549.66</v>
      </c>
      <c r="I8" s="4">
        <f t="shared" si="4"/>
        <v>55483.5</v>
      </c>
      <c r="J8" s="6">
        <f t="shared" si="1"/>
        <v>0.8413698775</v>
      </c>
      <c r="K8" s="6">
        <f t="shared" si="5"/>
        <v>5580.7056</v>
      </c>
    </row>
    <row r="9">
      <c r="A9" s="3">
        <v>6.0</v>
      </c>
      <c r="B9" s="3" t="s">
        <v>51</v>
      </c>
      <c r="C9" s="3">
        <v>0.0</v>
      </c>
      <c r="D9" s="6">
        <f>D8*(1+Supuestos!B21)</f>
        <v>7640.6976</v>
      </c>
      <c r="E9" s="6">
        <f>E8*(1+Supuestos!B21)</f>
        <v>-1948.377888</v>
      </c>
      <c r="F9" s="6">
        <f t="shared" si="2"/>
        <v>5692.319712</v>
      </c>
      <c r="G9" s="4">
        <f t="shared" si="3"/>
        <v>20308.30531</v>
      </c>
      <c r="H9" s="6">
        <f>H8*(1+Supuestos!B22)</f>
        <v>89300.6532</v>
      </c>
      <c r="I9" s="4">
        <f t="shared" si="4"/>
        <v>55483.5</v>
      </c>
      <c r="J9" s="6">
        <f t="shared" si="1"/>
        <v>0.9755235072</v>
      </c>
      <c r="K9" s="6">
        <f t="shared" si="5"/>
        <v>5692.319712</v>
      </c>
    </row>
    <row r="10">
      <c r="A10" s="3">
        <v>7.0</v>
      </c>
      <c r="B10" s="3" t="s">
        <v>51</v>
      </c>
      <c r="C10" s="3">
        <v>0.0</v>
      </c>
      <c r="D10" s="6">
        <f>D9*(1+Supuestos!B21)</f>
        <v>7793.511552</v>
      </c>
      <c r="E10" s="6">
        <f>E9*(1+Supuestos!B21)</f>
        <v>-1987.345446</v>
      </c>
      <c r="F10" s="6">
        <f t="shared" si="2"/>
        <v>5806.166106</v>
      </c>
      <c r="G10" s="4">
        <f t="shared" si="3"/>
        <v>26114.47142</v>
      </c>
      <c r="H10" s="6">
        <f>H9*(1+Supuestos!B22)</f>
        <v>91086.66626</v>
      </c>
      <c r="I10" s="4">
        <f t="shared" si="4"/>
        <v>55483.5</v>
      </c>
      <c r="J10" s="6">
        <f t="shared" si="1"/>
        <v>1.112360209</v>
      </c>
      <c r="K10" s="6">
        <f t="shared" si="5"/>
        <v>5806.166106</v>
      </c>
    </row>
    <row r="11">
      <c r="A11" s="3">
        <v>8.0</v>
      </c>
      <c r="B11" s="3" t="s">
        <v>51</v>
      </c>
      <c r="C11" s="3">
        <v>0.0</v>
      </c>
      <c r="D11" s="6">
        <f>D10*(1+Supuestos!B21)</f>
        <v>7949.381783</v>
      </c>
      <c r="E11" s="6">
        <f>E10*(1+Supuestos!B21)</f>
        <v>-2027.092355</v>
      </c>
      <c r="F11" s="6">
        <f t="shared" si="2"/>
        <v>5922.289428</v>
      </c>
      <c r="G11" s="4">
        <f t="shared" si="3"/>
        <v>32036.76085</v>
      </c>
      <c r="H11" s="6">
        <f>H10*(1+Supuestos!B22)</f>
        <v>92908.39959</v>
      </c>
      <c r="I11" s="4">
        <f t="shared" si="4"/>
        <v>55483.5</v>
      </c>
      <c r="J11" s="6">
        <f t="shared" si="1"/>
        <v>1.251933646</v>
      </c>
      <c r="K11" s="6">
        <f t="shared" si="5"/>
        <v>5922.289428</v>
      </c>
    </row>
    <row r="12">
      <c r="A12" s="3">
        <v>9.0</v>
      </c>
      <c r="B12" s="3" t="s">
        <v>51</v>
      </c>
      <c r="C12" s="3">
        <v>0.0</v>
      </c>
      <c r="D12" s="6">
        <f>D11*(1+Supuestos!B21)</f>
        <v>8108.369419</v>
      </c>
      <c r="E12" s="6">
        <f>E11*(1+Supuestos!B21)</f>
        <v>-2067.634202</v>
      </c>
      <c r="F12" s="6">
        <f t="shared" si="2"/>
        <v>6040.735217</v>
      </c>
      <c r="G12" s="4">
        <f t="shared" si="3"/>
        <v>38077.49606</v>
      </c>
      <c r="H12" s="6">
        <f>H11*(1+Supuestos!B22)</f>
        <v>94766.56758</v>
      </c>
      <c r="I12" s="4">
        <f t="shared" si="4"/>
        <v>55483.5</v>
      </c>
      <c r="J12" s="6">
        <f t="shared" si="1"/>
        <v>1.394298551</v>
      </c>
      <c r="K12" s="6">
        <f t="shared" si="5"/>
        <v>6040.735217</v>
      </c>
    </row>
    <row r="13">
      <c r="A13" s="3">
        <v>10.0</v>
      </c>
      <c r="B13" s="3" t="s">
        <v>51</v>
      </c>
      <c r="C13" s="3">
        <v>0.0</v>
      </c>
      <c r="D13" s="6">
        <f>D12*(1+Supuestos!B21)</f>
        <v>8270.536807</v>
      </c>
      <c r="E13" s="6">
        <f>E12*(1+Supuestos!B21)</f>
        <v>-2108.986886</v>
      </c>
      <c r="F13" s="6">
        <f t="shared" si="2"/>
        <v>6161.549921</v>
      </c>
      <c r="G13" s="4">
        <f t="shared" si="3"/>
        <v>44239.04598</v>
      </c>
      <c r="H13" s="6">
        <f>H12*(1+Supuestos!B22)</f>
        <v>96661.89893</v>
      </c>
      <c r="I13" s="4">
        <f t="shared" si="4"/>
        <v>55483.5</v>
      </c>
      <c r="J13" s="6">
        <f t="shared" si="1"/>
        <v>1.539510754</v>
      </c>
      <c r="K13" s="6">
        <f>F13+H13*(1-Supuestos!B4)</f>
        <v>97990.35391</v>
      </c>
    </row>
    <row r="15">
      <c r="A15" s="3" t="s">
        <v>127</v>
      </c>
      <c r="B15" s="17">
        <f>IRR(K3:K13)</f>
        <v>0.1146928055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1" t="s">
        <v>2</v>
      </c>
      <c r="B2" s="1" t="s">
        <v>3</v>
      </c>
      <c r="C2" s="1" t="s">
        <v>4</v>
      </c>
      <c r="D2" s="1" t="s">
        <v>158</v>
      </c>
      <c r="E2" s="1" t="s">
        <v>6</v>
      </c>
      <c r="F2" s="1" t="s">
        <v>7</v>
      </c>
      <c r="G2" s="1" t="s">
        <v>8</v>
      </c>
      <c r="H2" s="1" t="s">
        <v>159</v>
      </c>
      <c r="I2" s="1" t="s">
        <v>11</v>
      </c>
      <c r="J2" s="1" t="s">
        <v>13</v>
      </c>
      <c r="K2" s="1" t="s">
        <v>15</v>
      </c>
    </row>
    <row r="3">
      <c r="A3" s="3">
        <v>0.0</v>
      </c>
      <c r="B3" s="3" t="s">
        <v>160</v>
      </c>
      <c r="C3" s="6">
        <f>-Supuestos!B32</f>
        <v>-45000</v>
      </c>
      <c r="D3" s="3">
        <v>0.0</v>
      </c>
      <c r="E3" s="3">
        <v>0.0</v>
      </c>
      <c r="F3" s="3">
        <v>0.0</v>
      </c>
      <c r="G3" s="3">
        <v>0.0</v>
      </c>
      <c r="H3" s="6">
        <f>Supuestos!B32</f>
        <v>45000</v>
      </c>
      <c r="I3" s="6">
        <f>Supuestos!B32</f>
        <v>45000</v>
      </c>
      <c r="J3" s="6">
        <f t="shared" ref="J3:J13" si="1">(H3+G3-I3)/I3</f>
        <v>0</v>
      </c>
      <c r="K3" s="6">
        <f>C3</f>
        <v>-45000</v>
      </c>
    </row>
    <row r="4">
      <c r="A4" s="3">
        <v>1.0</v>
      </c>
      <c r="B4" s="3" t="s">
        <v>167</v>
      </c>
      <c r="C4" s="3">
        <v>0.0</v>
      </c>
      <c r="D4" s="6">
        <f>Supuestos!B33*Supuestos!B34*12*Supuestos!B35</f>
        <v>3960</v>
      </c>
      <c r="E4" s="6">
        <f>-Supuestos!B37</f>
        <v>-2040</v>
      </c>
      <c r="F4" s="6">
        <f t="shared" ref="F4:F13" si="2">D4+E4</f>
        <v>1920</v>
      </c>
      <c r="G4" s="6">
        <f>F4</f>
        <v>1920</v>
      </c>
      <c r="H4" s="6">
        <f>Supuestos!B32</f>
        <v>45000</v>
      </c>
      <c r="I4" s="6">
        <f t="shared" ref="I4:I13" si="3">I3</f>
        <v>45000</v>
      </c>
      <c r="J4" s="6">
        <f t="shared" si="1"/>
        <v>0.04266666667</v>
      </c>
      <c r="K4" s="6">
        <f t="shared" ref="K4:K12" si="4">F4</f>
        <v>1920</v>
      </c>
    </row>
    <row r="5">
      <c r="A5" s="3">
        <v>2.0</v>
      </c>
      <c r="B5" s="3" t="s">
        <v>177</v>
      </c>
      <c r="C5" s="3">
        <v>0.0</v>
      </c>
      <c r="D5" s="6">
        <f>Supuestos!B33*Supuestos!B34*12*Supuestos!B36</f>
        <v>7128</v>
      </c>
      <c r="E5" s="6">
        <f>E4*(1+Supuestos!B39)</f>
        <v>-2080.8</v>
      </c>
      <c r="F5" s="6">
        <f t="shared" si="2"/>
        <v>5047.2</v>
      </c>
      <c r="G5" s="6">
        <f t="shared" ref="G5:G13" si="5">G4+F5</f>
        <v>6967.2</v>
      </c>
      <c r="H5" s="6">
        <f>F5/Supuestos!B40</f>
        <v>56080</v>
      </c>
      <c r="I5" s="6">
        <f t="shared" si="3"/>
        <v>45000</v>
      </c>
      <c r="J5" s="6">
        <f t="shared" si="1"/>
        <v>0.4010488889</v>
      </c>
      <c r="K5" s="6">
        <f t="shared" si="4"/>
        <v>5047.2</v>
      </c>
    </row>
    <row r="6">
      <c r="A6" s="3">
        <v>3.0</v>
      </c>
      <c r="B6" s="3" t="s">
        <v>187</v>
      </c>
      <c r="C6" s="3">
        <v>0.0</v>
      </c>
      <c r="D6" s="6">
        <f>D5*(1+Supuestos!B38)</f>
        <v>7270.56</v>
      </c>
      <c r="E6" s="6">
        <f>E5*(1+Supuestos!B39)</f>
        <v>-2122.416</v>
      </c>
      <c r="F6" s="6">
        <f t="shared" si="2"/>
        <v>5148.144</v>
      </c>
      <c r="G6" s="6">
        <f t="shared" si="5"/>
        <v>12115.344</v>
      </c>
      <c r="H6" s="6">
        <f>F6/Supuestos!B40</f>
        <v>57201.6</v>
      </c>
      <c r="I6" s="6">
        <f t="shared" si="3"/>
        <v>45000</v>
      </c>
      <c r="J6" s="6">
        <f t="shared" si="1"/>
        <v>0.5403765333</v>
      </c>
      <c r="K6" s="6">
        <f t="shared" si="4"/>
        <v>5148.144</v>
      </c>
    </row>
    <row r="7">
      <c r="A7" s="3">
        <v>4.0</v>
      </c>
      <c r="B7" s="3" t="s">
        <v>187</v>
      </c>
      <c r="C7" s="3">
        <v>0.0</v>
      </c>
      <c r="D7" s="6">
        <f>D6*(1+Supuestos!B38)</f>
        <v>7415.9712</v>
      </c>
      <c r="E7" s="6">
        <f>E6*(1+Supuestos!B39)</f>
        <v>-2164.86432</v>
      </c>
      <c r="F7" s="6">
        <f t="shared" si="2"/>
        <v>5251.10688</v>
      </c>
      <c r="G7" s="6">
        <f t="shared" si="5"/>
        <v>17366.45088</v>
      </c>
      <c r="H7" s="6">
        <f>F7/Supuestos!B40</f>
        <v>58345.632</v>
      </c>
      <c r="I7" s="6">
        <f t="shared" si="3"/>
        <v>45000</v>
      </c>
      <c r="J7" s="6">
        <f t="shared" si="1"/>
        <v>0.6824907307</v>
      </c>
      <c r="K7" s="6">
        <f t="shared" si="4"/>
        <v>5251.10688</v>
      </c>
    </row>
    <row r="8">
      <c r="A8" s="3">
        <v>5.0</v>
      </c>
      <c r="B8" s="3" t="s">
        <v>187</v>
      </c>
      <c r="C8" s="3">
        <v>0.0</v>
      </c>
      <c r="D8" s="6">
        <f>D7*(1+Supuestos!B38)</f>
        <v>7564.290624</v>
      </c>
      <c r="E8" s="6">
        <f>E7*(1+Supuestos!B39)</f>
        <v>-2208.161606</v>
      </c>
      <c r="F8" s="6">
        <f t="shared" si="2"/>
        <v>5356.129018</v>
      </c>
      <c r="G8" s="6">
        <f t="shared" si="5"/>
        <v>22722.5799</v>
      </c>
      <c r="H8" s="6">
        <f>F8/Supuestos!B40</f>
        <v>59512.54464</v>
      </c>
      <c r="I8" s="6">
        <f t="shared" si="3"/>
        <v>45000</v>
      </c>
      <c r="J8" s="6">
        <f t="shared" si="1"/>
        <v>0.8274472119</v>
      </c>
      <c r="K8" s="6">
        <f t="shared" si="4"/>
        <v>5356.129018</v>
      </c>
    </row>
    <row r="9">
      <c r="A9" s="3">
        <v>6.0</v>
      </c>
      <c r="B9" s="3" t="s">
        <v>187</v>
      </c>
      <c r="C9" s="3">
        <v>0.0</v>
      </c>
      <c r="D9" s="6">
        <f>D8*(1+Supuestos!B38)</f>
        <v>7715.576436</v>
      </c>
      <c r="E9" s="6">
        <f>E8*(1+Supuestos!B39)</f>
        <v>-2252.324839</v>
      </c>
      <c r="F9" s="6">
        <f t="shared" si="2"/>
        <v>5463.251598</v>
      </c>
      <c r="G9" s="6">
        <f t="shared" si="5"/>
        <v>28185.8315</v>
      </c>
      <c r="H9" s="6">
        <f>F9/Supuestos!B40</f>
        <v>60702.79553</v>
      </c>
      <c r="I9" s="6">
        <f t="shared" si="3"/>
        <v>45000</v>
      </c>
      <c r="J9" s="6">
        <f t="shared" si="1"/>
        <v>0.9753028229</v>
      </c>
      <c r="K9" s="6">
        <f t="shared" si="4"/>
        <v>5463.251598</v>
      </c>
    </row>
    <row r="10">
      <c r="A10" s="3">
        <v>7.0</v>
      </c>
      <c r="B10" s="3" t="s">
        <v>187</v>
      </c>
      <c r="C10" s="3">
        <v>0.0</v>
      </c>
      <c r="D10" s="6">
        <f>D9*(1+Supuestos!B38)</f>
        <v>7869.887965</v>
      </c>
      <c r="E10" s="6">
        <f>E9*(1+Supuestos!B39)</f>
        <v>-2297.371335</v>
      </c>
      <c r="F10" s="6">
        <f t="shared" si="2"/>
        <v>5572.51663</v>
      </c>
      <c r="G10" s="6">
        <f t="shared" si="5"/>
        <v>33758.34813</v>
      </c>
      <c r="H10" s="6">
        <f>F10/Supuestos!B40</f>
        <v>61916.85144</v>
      </c>
      <c r="I10" s="6">
        <f t="shared" si="3"/>
        <v>45000</v>
      </c>
      <c r="J10" s="6">
        <f t="shared" si="1"/>
        <v>1.126115546</v>
      </c>
      <c r="K10" s="6">
        <f t="shared" si="4"/>
        <v>5572.51663</v>
      </c>
    </row>
    <row r="11">
      <c r="A11" s="3">
        <v>8.0</v>
      </c>
      <c r="B11" s="3" t="s">
        <v>187</v>
      </c>
      <c r="C11" s="3">
        <v>0.0</v>
      </c>
      <c r="D11" s="6">
        <f>D10*(1+Supuestos!B38)</f>
        <v>8027.285725</v>
      </c>
      <c r="E11" s="6">
        <f>E10*(1+Supuestos!B39)</f>
        <v>-2343.318762</v>
      </c>
      <c r="F11" s="6">
        <f t="shared" si="2"/>
        <v>5683.966963</v>
      </c>
      <c r="G11" s="6">
        <f t="shared" si="5"/>
        <v>39442.31509</v>
      </c>
      <c r="H11" s="6">
        <f>F11/Supuestos!B40</f>
        <v>63155.18847</v>
      </c>
      <c r="I11" s="6">
        <f t="shared" si="3"/>
        <v>45000</v>
      </c>
      <c r="J11" s="6">
        <f t="shared" si="1"/>
        <v>1.279944524</v>
      </c>
      <c r="K11" s="6">
        <f t="shared" si="4"/>
        <v>5683.966963</v>
      </c>
    </row>
    <row r="12">
      <c r="A12" s="3">
        <v>9.0</v>
      </c>
      <c r="B12" s="3" t="s">
        <v>187</v>
      </c>
      <c r="C12" s="3">
        <v>0.0</v>
      </c>
      <c r="D12" s="6">
        <f>D11*(1+Supuestos!B38)</f>
        <v>8187.831439</v>
      </c>
      <c r="E12" s="6">
        <f>E11*(1+Supuestos!B39)</f>
        <v>-2390.185137</v>
      </c>
      <c r="F12" s="6">
        <f t="shared" si="2"/>
        <v>5797.646302</v>
      </c>
      <c r="G12" s="6">
        <f t="shared" si="5"/>
        <v>45239.96139</v>
      </c>
      <c r="H12" s="6">
        <f>F12/Supuestos!B40</f>
        <v>64418.29224</v>
      </c>
      <c r="I12" s="6">
        <f t="shared" si="3"/>
        <v>45000</v>
      </c>
      <c r="J12" s="6">
        <f t="shared" si="1"/>
        <v>1.436850081</v>
      </c>
      <c r="K12" s="6">
        <f t="shared" si="4"/>
        <v>5797.646302</v>
      </c>
    </row>
    <row r="13">
      <c r="A13" s="3">
        <v>10.0</v>
      </c>
      <c r="B13" s="3" t="s">
        <v>187</v>
      </c>
      <c r="C13" s="3">
        <v>0.0</v>
      </c>
      <c r="D13" s="6">
        <f>D12*(1+Supuestos!B38)</f>
        <v>8351.588068</v>
      </c>
      <c r="E13" s="6">
        <f>E12*(1+Supuestos!B39)</f>
        <v>-2437.98884</v>
      </c>
      <c r="F13" s="6">
        <f t="shared" si="2"/>
        <v>5913.599228</v>
      </c>
      <c r="G13" s="6">
        <f t="shared" si="5"/>
        <v>51153.56062</v>
      </c>
      <c r="H13" s="6">
        <f>F13/Supuestos!B40</f>
        <v>65706.65809</v>
      </c>
      <c r="I13" s="6">
        <f t="shared" si="3"/>
        <v>45000</v>
      </c>
      <c r="J13" s="6">
        <f t="shared" si="1"/>
        <v>1.596893749</v>
      </c>
      <c r="K13" s="6">
        <f>F13+H13*(1-Supuestos!B41)</f>
        <v>68334.92441</v>
      </c>
    </row>
    <row r="15">
      <c r="A15" s="3" t="s">
        <v>127</v>
      </c>
      <c r="B15" s="17">
        <f>IRR(K3:K13)</f>
        <v>0.1283615829</v>
      </c>
    </row>
    <row r="16">
      <c r="A16" s="3" t="s">
        <v>236</v>
      </c>
      <c r="B16" s="3" t="s">
        <v>237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11</v>
      </c>
      <c r="J2" s="1" t="s">
        <v>13</v>
      </c>
      <c r="K2" s="1" t="s">
        <v>15</v>
      </c>
    </row>
    <row r="3">
      <c r="A3" s="3">
        <v>0.0</v>
      </c>
      <c r="B3" s="3" t="s">
        <v>195</v>
      </c>
      <c r="C3" s="6">
        <f>-(Supuestos!B46+Supuestos!B47+Supuestos!B48)</f>
        <v>-111900</v>
      </c>
      <c r="D3" s="3">
        <v>0.0</v>
      </c>
      <c r="E3" s="3">
        <v>0.0</v>
      </c>
      <c r="F3" s="3">
        <v>0.0</v>
      </c>
      <c r="G3" s="3">
        <v>0.0</v>
      </c>
      <c r="H3" s="6">
        <f>Supuestos!B46</f>
        <v>99900</v>
      </c>
      <c r="I3" s="6">
        <f>-C3</f>
        <v>111900</v>
      </c>
      <c r="J3" s="6">
        <f t="shared" ref="J3:J13" si="1">(H3+G3-I3)/I3</f>
        <v>-0.1072386059</v>
      </c>
      <c r="K3" s="6">
        <f>C3</f>
        <v>-111900</v>
      </c>
    </row>
    <row r="4">
      <c r="A4" s="3">
        <v>1.0</v>
      </c>
      <c r="B4" s="3" t="s">
        <v>27</v>
      </c>
      <c r="C4" s="3">
        <v>0.0</v>
      </c>
      <c r="D4" s="3">
        <v>0.0</v>
      </c>
      <c r="E4" s="6">
        <f>-Supuestos!B59</f>
        <v>-1800</v>
      </c>
      <c r="F4" s="6">
        <f t="shared" ref="F4:F13" si="2">D4+E4</f>
        <v>-1800</v>
      </c>
      <c r="G4" s="6">
        <f>F4</f>
        <v>-1800</v>
      </c>
      <c r="H4" s="6">
        <f>H3*(1+Supuestos!B54)</f>
        <v>101898</v>
      </c>
      <c r="I4" s="6">
        <f>I3</f>
        <v>111900</v>
      </c>
      <c r="J4" s="6">
        <f t="shared" si="1"/>
        <v>-0.1054691689</v>
      </c>
      <c r="K4" s="6">
        <f>F4</f>
        <v>-1800</v>
      </c>
    </row>
    <row r="5">
      <c r="A5" s="3">
        <v>2.0</v>
      </c>
      <c r="B5" s="3" t="s">
        <v>229</v>
      </c>
      <c r="C5" s="6">
        <f>-Supuestos!B49</f>
        <v>-32500</v>
      </c>
      <c r="D5" s="3">
        <v>0.0</v>
      </c>
      <c r="E5" s="6">
        <f>-Supuestos!B59</f>
        <v>-1800</v>
      </c>
      <c r="F5" s="6">
        <f t="shared" si="2"/>
        <v>-1800</v>
      </c>
      <c r="G5" s="6">
        <f t="shared" ref="G5:G13" si="3">G4+F5</f>
        <v>-3600</v>
      </c>
      <c r="H5" s="6">
        <f>Supuestos!B51</f>
        <v>180000</v>
      </c>
      <c r="I5" s="6">
        <f>I4-C5</f>
        <v>144400</v>
      </c>
      <c r="J5" s="6">
        <f t="shared" si="1"/>
        <v>0.2216066482</v>
      </c>
      <c r="K5" s="6">
        <f>C5+F5</f>
        <v>-34300</v>
      </c>
    </row>
    <row r="6">
      <c r="A6" s="3">
        <v>3.0</v>
      </c>
      <c r="B6" s="3" t="s">
        <v>51</v>
      </c>
      <c r="C6" s="3">
        <v>0.0</v>
      </c>
      <c r="D6" s="6">
        <f>Supuestos!B52*12</f>
        <v>11700</v>
      </c>
      <c r="E6" s="6">
        <f>-D6*Supuestos!B53</f>
        <v>-3510</v>
      </c>
      <c r="F6" s="6">
        <f t="shared" si="2"/>
        <v>8190</v>
      </c>
      <c r="G6" s="6">
        <f t="shared" si="3"/>
        <v>4590</v>
      </c>
      <c r="H6" s="6">
        <f>H5*(1+Supuestos!B54)</f>
        <v>183600</v>
      </c>
      <c r="I6" s="6">
        <f t="shared" ref="I6:I13" si="4">I5</f>
        <v>144400</v>
      </c>
      <c r="J6" s="6">
        <f t="shared" si="1"/>
        <v>0.3032548476</v>
      </c>
      <c r="K6" s="6">
        <f t="shared" ref="K6:K12" si="5">F6</f>
        <v>8190</v>
      </c>
    </row>
    <row r="7">
      <c r="A7" s="3">
        <v>4.0</v>
      </c>
      <c r="B7" s="3" t="s">
        <v>51</v>
      </c>
      <c r="C7" s="3">
        <v>0.0</v>
      </c>
      <c r="D7" s="6">
        <f>D6*(1+Supuestos!B55)</f>
        <v>11934</v>
      </c>
      <c r="E7" s="6">
        <f>E6*(1+Supuestos!B55)</f>
        <v>-3580.2</v>
      </c>
      <c r="F7" s="6">
        <f t="shared" si="2"/>
        <v>8353.8</v>
      </c>
      <c r="G7" s="6">
        <f t="shared" si="3"/>
        <v>12943.8</v>
      </c>
      <c r="H7" s="6">
        <f>H6*(1+Supuestos!B54)</f>
        <v>187272</v>
      </c>
      <c r="I7" s="6">
        <f t="shared" si="4"/>
        <v>144400</v>
      </c>
      <c r="J7" s="6">
        <f t="shared" si="1"/>
        <v>0.3865360111</v>
      </c>
      <c r="K7" s="6">
        <f t="shared" si="5"/>
        <v>8353.8</v>
      </c>
    </row>
    <row r="8">
      <c r="A8" s="3">
        <v>5.0</v>
      </c>
      <c r="B8" s="3" t="s">
        <v>51</v>
      </c>
      <c r="C8" s="3">
        <v>0.0</v>
      </c>
      <c r="D8" s="6">
        <f>D7*(1+Supuestos!B55)</f>
        <v>12172.68</v>
      </c>
      <c r="E8" s="6">
        <f>E7*(1+Supuestos!B55)</f>
        <v>-3651.804</v>
      </c>
      <c r="F8" s="6">
        <f t="shared" si="2"/>
        <v>8520.876</v>
      </c>
      <c r="G8" s="6">
        <f t="shared" si="3"/>
        <v>21464.676</v>
      </c>
      <c r="H8" s="6">
        <f>H7*(1+Supuestos!B54)</f>
        <v>191017.44</v>
      </c>
      <c r="I8" s="6">
        <f t="shared" si="4"/>
        <v>144400</v>
      </c>
      <c r="J8" s="6">
        <f t="shared" si="1"/>
        <v>0.4714827978</v>
      </c>
      <c r="K8" s="6">
        <f t="shared" si="5"/>
        <v>8520.876</v>
      </c>
    </row>
    <row r="9">
      <c r="A9" s="3">
        <v>6.0</v>
      </c>
      <c r="B9" s="3" t="s">
        <v>51</v>
      </c>
      <c r="C9" s="3">
        <v>0.0</v>
      </c>
      <c r="D9" s="6">
        <f>D8*(1+Supuestos!B55)</f>
        <v>12416.1336</v>
      </c>
      <c r="E9" s="6">
        <f>E8*(1+Supuestos!B55)</f>
        <v>-3724.84008</v>
      </c>
      <c r="F9" s="6">
        <f t="shared" si="2"/>
        <v>8691.29352</v>
      </c>
      <c r="G9" s="6">
        <f t="shared" si="3"/>
        <v>30155.96952</v>
      </c>
      <c r="H9" s="6">
        <f>H8*(1+Supuestos!B54)</f>
        <v>194837.7888</v>
      </c>
      <c r="I9" s="6">
        <f t="shared" si="4"/>
        <v>144400</v>
      </c>
      <c r="J9" s="6">
        <f t="shared" si="1"/>
        <v>0.5581285202</v>
      </c>
      <c r="K9" s="6">
        <f t="shared" si="5"/>
        <v>8691.29352</v>
      </c>
    </row>
    <row r="10">
      <c r="A10" s="3">
        <v>7.0</v>
      </c>
      <c r="B10" s="3" t="s">
        <v>51</v>
      </c>
      <c r="C10" s="3">
        <v>0.0</v>
      </c>
      <c r="D10" s="6">
        <f>D9*(1+Supuestos!B55)</f>
        <v>12664.45627</v>
      </c>
      <c r="E10" s="6">
        <f>E9*(1+Supuestos!B55)</f>
        <v>-3799.336882</v>
      </c>
      <c r="F10" s="6">
        <f t="shared" si="2"/>
        <v>8865.11939</v>
      </c>
      <c r="G10" s="6">
        <f t="shared" si="3"/>
        <v>39021.08891</v>
      </c>
      <c r="H10" s="6">
        <f>H9*(1+Supuestos!B54)</f>
        <v>198734.5446</v>
      </c>
      <c r="I10" s="6">
        <f t="shared" si="4"/>
        <v>144400</v>
      </c>
      <c r="J10" s="6">
        <f t="shared" si="1"/>
        <v>0.6465071571</v>
      </c>
      <c r="K10" s="6">
        <f t="shared" si="5"/>
        <v>8865.11939</v>
      </c>
    </row>
    <row r="11">
      <c r="A11" s="3">
        <v>8.0</v>
      </c>
      <c r="B11" s="3" t="s">
        <v>51</v>
      </c>
      <c r="C11" s="3">
        <v>0.0</v>
      </c>
      <c r="D11" s="6">
        <f>D10*(1+Supuestos!B55)</f>
        <v>12917.7454</v>
      </c>
      <c r="E11" s="6">
        <f>E10*(1+Supuestos!B55)</f>
        <v>-3875.323619</v>
      </c>
      <c r="F11" s="6">
        <f t="shared" si="2"/>
        <v>9042.421778</v>
      </c>
      <c r="G11" s="6">
        <f t="shared" si="3"/>
        <v>48063.51069</v>
      </c>
      <c r="H11" s="6">
        <f>H10*(1+Supuestos!B54)</f>
        <v>202709.2355</v>
      </c>
      <c r="I11" s="6">
        <f t="shared" si="4"/>
        <v>144400</v>
      </c>
      <c r="J11" s="6">
        <f t="shared" si="1"/>
        <v>0.7366533667</v>
      </c>
      <c r="K11" s="6">
        <f t="shared" si="5"/>
        <v>9042.421778</v>
      </c>
    </row>
    <row r="12">
      <c r="A12" s="3">
        <v>9.0</v>
      </c>
      <c r="B12" s="3" t="s">
        <v>51</v>
      </c>
      <c r="C12" s="3">
        <v>0.0</v>
      </c>
      <c r="D12" s="6">
        <f>D11*(1+Supuestos!B55)</f>
        <v>13176.10031</v>
      </c>
      <c r="E12" s="6">
        <f>E11*(1+Supuestos!B55)</f>
        <v>-3952.830092</v>
      </c>
      <c r="F12" s="6">
        <f t="shared" si="2"/>
        <v>9223.270214</v>
      </c>
      <c r="G12" s="6">
        <f t="shared" si="3"/>
        <v>57286.7809</v>
      </c>
      <c r="H12" s="6">
        <f>H11*(1+Supuestos!B54)</f>
        <v>206763.4202</v>
      </c>
      <c r="I12" s="6">
        <f t="shared" si="4"/>
        <v>144400</v>
      </c>
      <c r="J12" s="6">
        <f t="shared" si="1"/>
        <v>0.8286025005</v>
      </c>
      <c r="K12" s="6">
        <f t="shared" si="5"/>
        <v>9223.270214</v>
      </c>
    </row>
    <row r="13">
      <c r="A13" s="3">
        <v>10.0</v>
      </c>
      <c r="B13" s="3" t="s">
        <v>51</v>
      </c>
      <c r="C13" s="3">
        <v>0.0</v>
      </c>
      <c r="D13" s="6">
        <f>D12*(1+Supuestos!B55)</f>
        <v>13439.62231</v>
      </c>
      <c r="E13" s="6">
        <f>E12*(1+Supuestos!B55)</f>
        <v>-4031.886693</v>
      </c>
      <c r="F13" s="6">
        <f t="shared" si="2"/>
        <v>9407.735618</v>
      </c>
      <c r="G13" s="6">
        <f t="shared" si="3"/>
        <v>66694.51652</v>
      </c>
      <c r="H13" s="6">
        <f>H12*(1+Supuestos!B54)</f>
        <v>210898.6886</v>
      </c>
      <c r="I13" s="6">
        <f t="shared" si="4"/>
        <v>144400</v>
      </c>
      <c r="J13" s="6">
        <f t="shared" si="1"/>
        <v>0.922390617</v>
      </c>
      <c r="K13" s="6">
        <f>F13+H13*(1-Supuestos!B4)</f>
        <v>209761.4898</v>
      </c>
    </row>
    <row r="15">
      <c r="A15" s="3" t="s">
        <v>240</v>
      </c>
      <c r="B15" s="17">
        <f>IRR(K3:K13)</f>
        <v>0.07334525506</v>
      </c>
    </row>
    <row r="16">
      <c r="A16" s="3" t="s">
        <v>216</v>
      </c>
      <c r="B16" s="3" t="s">
        <v>241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219</v>
      </c>
      <c r="B1" s="2"/>
      <c r="C1" s="2"/>
      <c r="D1" s="2"/>
      <c r="E1" s="2"/>
      <c r="F1" s="2"/>
      <c r="G1" s="2"/>
    </row>
    <row r="2">
      <c r="A2" s="1" t="s">
        <v>2</v>
      </c>
      <c r="B2" s="1" t="s">
        <v>221</v>
      </c>
      <c r="C2" s="1" t="s">
        <v>222</v>
      </c>
      <c r="D2" s="1" t="s">
        <v>223</v>
      </c>
      <c r="E2" s="1" t="s">
        <v>224</v>
      </c>
      <c r="F2" s="1" t="s">
        <v>225</v>
      </c>
      <c r="G2" s="1" t="s">
        <v>226</v>
      </c>
    </row>
    <row r="3">
      <c r="A3" s="3">
        <v>0.0</v>
      </c>
      <c r="B3" s="6">
        <f>-Supuestos!B63</f>
        <v>-45000</v>
      </c>
      <c r="C3" s="3">
        <v>0.0</v>
      </c>
      <c r="D3" s="3">
        <v>0.0</v>
      </c>
      <c r="E3" s="6">
        <f>-Supuestos!B66</f>
        <v>-45000</v>
      </c>
      <c r="F3" s="3">
        <v>0.0</v>
      </c>
      <c r="G3" s="3">
        <v>0.0</v>
      </c>
    </row>
    <row r="4">
      <c r="A4" s="3">
        <v>1.0</v>
      </c>
      <c r="B4" s="6">
        <f>Supuestos!B64</f>
        <v>10720</v>
      </c>
      <c r="C4" s="6">
        <f>B4</f>
        <v>10720</v>
      </c>
      <c r="D4" s="3">
        <v>0.0</v>
      </c>
      <c r="E4" s="6">
        <f>Supuestos!B67</f>
        <v>5730</v>
      </c>
      <c r="F4" s="6">
        <f>E4</f>
        <v>5730</v>
      </c>
      <c r="G4" s="3">
        <v>0.0</v>
      </c>
    </row>
    <row r="5">
      <c r="A5" s="3">
        <v>2.0</v>
      </c>
      <c r="B5" s="6">
        <f>Supuestos!B64</f>
        <v>10720</v>
      </c>
      <c r="C5" s="6">
        <f t="shared" ref="C5:C12" si="1">C4+B5</f>
        <v>21440</v>
      </c>
      <c r="D5" s="3">
        <v>0.0</v>
      </c>
      <c r="E5" s="6">
        <f>Supuestos!B67</f>
        <v>5730</v>
      </c>
      <c r="F5" s="6">
        <f t="shared" ref="F5:F12" si="2">F4+E5</f>
        <v>11460</v>
      </c>
      <c r="G5" s="3">
        <v>0.0</v>
      </c>
    </row>
    <row r="6">
      <c r="A6" s="3">
        <v>3.0</v>
      </c>
      <c r="B6" s="6">
        <f>Supuestos!B64</f>
        <v>10720</v>
      </c>
      <c r="C6" s="6">
        <f t="shared" si="1"/>
        <v>32160</v>
      </c>
      <c r="D6" s="3">
        <v>0.0</v>
      </c>
      <c r="E6" s="6">
        <f>Supuestos!B67</f>
        <v>5730</v>
      </c>
      <c r="F6" s="6">
        <f t="shared" si="2"/>
        <v>17190</v>
      </c>
      <c r="G6" s="3">
        <v>0.0</v>
      </c>
    </row>
    <row r="7">
      <c r="A7" s="3">
        <v>4.0</v>
      </c>
      <c r="B7" s="6">
        <f>Supuestos!B64</f>
        <v>10720</v>
      </c>
      <c r="C7" s="6">
        <f t="shared" si="1"/>
        <v>42880</v>
      </c>
      <c r="D7" s="3">
        <v>0.0</v>
      </c>
      <c r="E7" s="6">
        <f>Supuestos!B67</f>
        <v>5730</v>
      </c>
      <c r="F7" s="6">
        <f t="shared" si="2"/>
        <v>22920</v>
      </c>
      <c r="G7" s="3">
        <v>0.0</v>
      </c>
    </row>
    <row r="8">
      <c r="A8" s="3">
        <v>5.0</v>
      </c>
      <c r="B8" s="6">
        <f>Supuestos!B64</f>
        <v>10720</v>
      </c>
      <c r="C8" s="6">
        <f t="shared" si="1"/>
        <v>53600</v>
      </c>
      <c r="D8" s="3">
        <v>0.0</v>
      </c>
      <c r="E8" s="6">
        <f>Supuestos!B67</f>
        <v>5730</v>
      </c>
      <c r="F8" s="6">
        <f t="shared" si="2"/>
        <v>28650</v>
      </c>
      <c r="G8" s="3">
        <v>0.0</v>
      </c>
    </row>
    <row r="9">
      <c r="A9" s="3">
        <v>6.0</v>
      </c>
      <c r="B9" s="6">
        <f>Supuestos!B64</f>
        <v>10720</v>
      </c>
      <c r="C9" s="6">
        <f t="shared" si="1"/>
        <v>64320</v>
      </c>
      <c r="D9" s="3">
        <v>0.0</v>
      </c>
      <c r="E9" s="6">
        <f>Supuestos!B67</f>
        <v>5730</v>
      </c>
      <c r="F9" s="6">
        <f t="shared" si="2"/>
        <v>34380</v>
      </c>
      <c r="G9" s="3">
        <v>0.0</v>
      </c>
    </row>
    <row r="10">
      <c r="A10" s="3">
        <v>7.0</v>
      </c>
      <c r="B10" s="6">
        <f>Supuestos!B64</f>
        <v>10720</v>
      </c>
      <c r="C10" s="6">
        <f t="shared" si="1"/>
        <v>75040</v>
      </c>
      <c r="D10" s="3">
        <v>0.0</v>
      </c>
      <c r="E10" s="6">
        <f>Supuestos!B67</f>
        <v>5730</v>
      </c>
      <c r="F10" s="6">
        <f t="shared" si="2"/>
        <v>40110</v>
      </c>
      <c r="G10" s="3">
        <v>0.0</v>
      </c>
    </row>
    <row r="11">
      <c r="A11" s="3">
        <v>8.0</v>
      </c>
      <c r="B11" s="6">
        <f>Supuestos!B64</f>
        <v>10720</v>
      </c>
      <c r="C11" s="6">
        <f t="shared" si="1"/>
        <v>85760</v>
      </c>
      <c r="D11" s="3">
        <v>0.0</v>
      </c>
      <c r="E11" s="6">
        <f>Supuestos!B67</f>
        <v>5730</v>
      </c>
      <c r="F11" s="6">
        <f t="shared" si="2"/>
        <v>45840</v>
      </c>
      <c r="G11" s="3">
        <v>0.0</v>
      </c>
    </row>
    <row r="12">
      <c r="A12" s="3">
        <v>9.0</v>
      </c>
      <c r="B12" s="6">
        <f>Supuestos!B64</f>
        <v>10720</v>
      </c>
      <c r="C12" s="6">
        <f t="shared" si="1"/>
        <v>96480</v>
      </c>
      <c r="D12" s="3">
        <v>0.0</v>
      </c>
      <c r="E12" s="6">
        <f>Supuestos!B67</f>
        <v>5730</v>
      </c>
      <c r="F12" s="6">
        <f t="shared" si="2"/>
        <v>51570</v>
      </c>
      <c r="G12" s="3">
        <v>0.0</v>
      </c>
    </row>
    <row r="13">
      <c r="A13" s="3">
        <v>10.0</v>
      </c>
      <c r="B13" s="6">
        <f>Supuestos!B64+Supuestos!B65</f>
        <v>19492</v>
      </c>
      <c r="C13" s="6">
        <f>C12+Supuestos!B64</f>
        <v>107200</v>
      </c>
      <c r="D13" s="6">
        <f>Supuestos!B65</f>
        <v>8772</v>
      </c>
      <c r="E13" s="6">
        <f>Supuestos!B67+Supuestos!B68</f>
        <v>16880</v>
      </c>
      <c r="F13" s="6">
        <f>F12+Supuestos!B67</f>
        <v>57300</v>
      </c>
      <c r="G13" s="6">
        <f>Supuestos!B68</f>
        <v>11150</v>
      </c>
    </row>
    <row r="15">
      <c r="A15" s="3" t="s">
        <v>238</v>
      </c>
      <c r="B15" s="17">
        <f>IRR(B3:B13)</f>
        <v>0.2084818493</v>
      </c>
    </row>
    <row r="16">
      <c r="A16" s="3" t="s">
        <v>239</v>
      </c>
      <c r="B16" s="17">
        <f>IRR(E3:E13)</f>
        <v>0.07387878328</v>
      </c>
    </row>
  </sheetData>
  <drawing r:id="rId1"/>
</worksheet>
</file>